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6.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7.xml" ContentType="application/vnd.openxmlformats-officedocument.spreadsheetml.comments+xml"/>
  <Override PartName="/xl/charts/chart6.xml" ContentType="application/vnd.openxmlformats-officedocument.drawingml.chart+xml"/>
  <Override PartName="/xl/drawings/drawing7.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8.xml" ContentType="application/vnd.openxmlformats-officedocument.spreadsheetml.comments+xml"/>
  <Override PartName="/xl/charts/chart7.xml" ContentType="application/vnd.openxmlformats-officedocument.drawingml.chart+xml"/>
  <Override PartName="/xl/drawings/drawing8.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9.xml" ContentType="application/vnd.openxmlformats-officedocument.spreadsheetml.comments+xml"/>
  <Override PartName="/xl/charts/chart8.xml" ContentType="application/vnd.openxmlformats-officedocument.drawingml.chart+xml"/>
  <Override PartName="/xl/drawings/drawing9.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10.xml" ContentType="application/vnd.openxmlformats-officedocument.spreadsheetml.comments+xml"/>
  <Override PartName="/xl/charts/chart9.xml" ContentType="application/vnd.openxmlformats-officedocument.drawingml.chart+xml"/>
  <Override PartName="/xl/drawings/drawing10.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11.xml" ContentType="application/vnd.openxmlformats-officedocument.spreadsheetml.comments+xml"/>
  <Override PartName="/xl/charts/chart10.xml" ContentType="application/vnd.openxmlformats-officedocument.drawingml.chart+xml"/>
  <Override PartName="/xl/drawings/drawing11.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omments12.xml" ContentType="application/vnd.openxmlformats-officedocument.spreadsheetml.comments+xml"/>
  <Override PartName="/xl/charts/chart11.xml" ContentType="application/vnd.openxmlformats-officedocument.drawingml.chart+xml"/>
  <Override PartName="/xl/drawings/drawing12.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13.xml" ContentType="application/vnd.openxmlformats-officedocument.spreadsheetml.comments+xml"/>
  <Override PartName="/xl/charts/chart1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FCB44529-0FC2-4AD3-BCAF-5BE728BDE35F}" xr6:coauthVersionLast="47" xr6:coauthVersionMax="47" xr10:uidLastSave="{00000000-0000-0000-0000-000000000000}"/>
  <bookViews>
    <workbookView xWindow="0" yWindow="0" windowWidth="0" windowHeight="0" firstSheet="2" activeTab="2" xr2:uid="{00000000-000D-0000-FFFF-FFFF00000000}"/>
  </bookViews>
  <sheets>
    <sheet name="Matriz Check List" sheetId="1" r:id="rId1"/>
    <sheet name="MODELO LISTA DE COMPROBACIO CU1" sheetId="10" r:id="rId2"/>
    <sheet name="MODELO LISTA DE COMPROBACIO CU2" sheetId="8" r:id="rId3"/>
    <sheet name="MODELO LISTA DE COMPROBACIO CU4" sheetId="9" r:id="rId4"/>
    <sheet name="MODELO LISTA DE COMPROBACI CU6" sheetId="19" r:id="rId5"/>
    <sheet name="MODELO LISTA DE COMPROBACIO CU8" sheetId="18" r:id="rId6"/>
    <sheet name="MODELO LISTA DE COMPROBACIOCU11" sheetId="16" r:id="rId7"/>
    <sheet name="MODELO LISTA DE COMPROBACIO CU7" sheetId="26" r:id="rId8"/>
    <sheet name="MODELO LISTA DE COMPROBACIO CU5" sheetId="21" r:id="rId9"/>
    <sheet name="MODELO LISTA DE COMPROBACIO CU3" sheetId="20" r:id="rId10"/>
    <sheet name="MODELO LISTA DE COMPROBACIO CU9" sheetId="13" r:id="rId11"/>
    <sheet name="MODELO LISTA DE COMPROBACIOCU12" sheetId="14" r:id="rId12"/>
    <sheet name="MODELO LISTA DE COMPROBACIOCU10" sheetId="12" r:id="rId13"/>
    <sheet name="RECOMENDACIONES - CU001.1" sheetId="5" r:id="rId14"/>
    <sheet name="RECOMENDACIONES - CU001.2" sheetId="11" r:id="rId15"/>
    <sheet name="RECOMENDACIONES - CU001.3" sheetId="27" r:id="rId16"/>
    <sheet name="RECOMENDACIONES - CU001.4" sheetId="7" r:id="rId17"/>
    <sheet name="RECOMENDACIONES - CU001.5" sheetId="28" r:id="rId18"/>
    <sheet name="RECOMENDACIONES - CU001.6" sheetId="23" r:id="rId19"/>
    <sheet name="RECOMENDACIONES - CU001.7" sheetId="29" r:id="rId20"/>
    <sheet name="RECOMENDACIONES - CU001.8" sheetId="24" r:id="rId21"/>
    <sheet name="RECOMENDACIONES - CU001.9" sheetId="31" r:id="rId22"/>
    <sheet name="RECOMENDACIONES - CU001.10" sheetId="30" r:id="rId23"/>
    <sheet name="RECOMENDACIONES - CU001.11" sheetId="25" r:id="rId24"/>
    <sheet name="RECOMENDACIONES - CU001.12" sheetId="32"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26" l="1"/>
  <c r="D35" i="26"/>
  <c r="C36" i="26"/>
  <c r="D36" i="26"/>
  <c r="C27" i="26"/>
  <c r="D27" i="26"/>
  <c r="C28" i="26"/>
  <c r="D28" i="26"/>
  <c r="C17" i="26"/>
  <c r="D17" i="26"/>
  <c r="C18" i="26"/>
  <c r="D18" i="26"/>
  <c r="C35" i="21"/>
  <c r="D35" i="21"/>
  <c r="C36" i="21"/>
  <c r="D36" i="21"/>
  <c r="C27" i="21"/>
  <c r="D27" i="21"/>
  <c r="C28" i="21"/>
  <c r="D28" i="21"/>
  <c r="C17" i="21"/>
  <c r="D17" i="21"/>
  <c r="C18" i="21"/>
  <c r="D18" i="21"/>
  <c r="D35" i="20"/>
  <c r="D36" i="20" s="1"/>
  <c r="C35" i="20"/>
  <c r="C36" i="20" s="1"/>
  <c r="D27" i="20"/>
  <c r="D28" i="20" s="1"/>
  <c r="C27" i="20"/>
  <c r="C28" i="20" s="1"/>
  <c r="D17" i="20"/>
  <c r="D18" i="20" s="1"/>
  <c r="C17" i="20"/>
  <c r="C18" i="20" s="1"/>
  <c r="C35" i="19"/>
  <c r="D35" i="19"/>
  <c r="C36" i="19"/>
  <c r="D36" i="19"/>
  <c r="C27" i="19"/>
  <c r="D27" i="19"/>
  <c r="C28" i="19"/>
  <c r="D28" i="19"/>
  <c r="C17" i="19"/>
  <c r="D17" i="19"/>
  <c r="C18" i="19"/>
  <c r="D18" i="19"/>
  <c r="C35" i="18"/>
  <c r="D35" i="18"/>
  <c r="C36" i="18"/>
  <c r="D36" i="18"/>
  <c r="C27" i="18"/>
  <c r="D27" i="18"/>
  <c r="C28" i="18"/>
  <c r="D28" i="18"/>
  <c r="C17" i="18"/>
  <c r="D17" i="18"/>
  <c r="C18" i="18"/>
  <c r="D18" i="18"/>
  <c r="C35" i="16"/>
  <c r="D35" i="16"/>
  <c r="C36" i="16"/>
  <c r="D36" i="16"/>
  <c r="C27" i="16"/>
  <c r="D27" i="16"/>
  <c r="C28" i="16"/>
  <c r="D28" i="16"/>
  <c r="C17" i="16"/>
  <c r="D17" i="16"/>
  <c r="C18" i="16"/>
  <c r="D18" i="16"/>
  <c r="C35" i="14"/>
  <c r="D35" i="14"/>
  <c r="C36" i="14"/>
  <c r="D36" i="14"/>
  <c r="C27" i="14"/>
  <c r="D27" i="14"/>
  <c r="C28" i="14"/>
  <c r="D28" i="14"/>
  <c r="C17" i="14"/>
  <c r="D17" i="14"/>
  <c r="C18" i="14"/>
  <c r="D18" i="14"/>
  <c r="C35" i="13"/>
  <c r="D35" i="13"/>
  <c r="C36" i="13"/>
  <c r="D36" i="13"/>
  <c r="C27" i="13"/>
  <c r="D27" i="13"/>
  <c r="C28" i="13"/>
  <c r="D28" i="13"/>
  <c r="C17" i="13"/>
  <c r="D17" i="13"/>
  <c r="C18" i="13"/>
  <c r="D18" i="13"/>
  <c r="C35" i="12"/>
  <c r="D35" i="12"/>
  <c r="C36" i="12"/>
  <c r="D36" i="12"/>
  <c r="C27" i="12"/>
  <c r="D27" i="12"/>
  <c r="C28" i="12"/>
  <c r="D28" i="12"/>
  <c r="C17" i="12"/>
  <c r="D17" i="12"/>
  <c r="C18" i="12"/>
  <c r="D18" i="12"/>
  <c r="D35" i="10"/>
  <c r="D36" i="10" s="1"/>
  <c r="C35" i="10"/>
  <c r="C36" i="10" s="1"/>
  <c r="D27" i="10"/>
  <c r="D28" i="10" s="1"/>
  <c r="C27" i="10"/>
  <c r="C28" i="10" s="1"/>
  <c r="D17" i="10"/>
  <c r="D18" i="10" s="1"/>
  <c r="C17" i="10"/>
  <c r="C18" i="10" s="1"/>
  <c r="D35" i="9"/>
  <c r="D36" i="9" s="1"/>
  <c r="C35" i="9"/>
  <c r="C36" i="9" s="1"/>
  <c r="D27" i="9"/>
  <c r="D28" i="9" s="1"/>
  <c r="C27" i="9"/>
  <c r="C28" i="9" s="1"/>
  <c r="D17" i="9"/>
  <c r="D18" i="9" s="1"/>
  <c r="C17" i="9"/>
  <c r="C18" i="9" s="1"/>
  <c r="D35" i="8"/>
  <c r="D36" i="8" s="1"/>
  <c r="C35" i="8"/>
  <c r="C36" i="8" s="1"/>
  <c r="D27" i="8"/>
  <c r="D28" i="8" s="1"/>
  <c r="C27" i="8"/>
  <c r="C28" i="8" s="1"/>
  <c r="D17" i="8"/>
  <c r="D18" i="8" s="1"/>
  <c r="C17" i="8"/>
  <c r="C1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00000000-0006-0000-0000-000003000000}">
      <text>
        <r>
          <rPr>
            <sz val="11"/>
            <color theme="1"/>
            <rFont val="Calibri"/>
            <scheme val="minor"/>
          </rPr>
          <t>jeny ruiz:
Control del nivel de acuedo entre las partes Cliente y Desarrollador</t>
        </r>
      </text>
    </comment>
    <comment ref="H7" authorId="0" shapeId="0" xr:uid="{00000000-0006-0000-0000-000004000000}">
      <text>
        <r>
          <rPr>
            <sz val="11"/>
            <color theme="1"/>
            <rFont val="Calibri"/>
            <scheme val="minor"/>
          </rPr>
          <t>jeny ruiz:
Se guarda en un archivo Excel los registros que dieron un problema en la actualización.</t>
        </r>
      </text>
    </comment>
    <comment ref="I7" authorId="0" shapeId="0" xr:uid="{00000000-0006-0000-0000-000005000000}">
      <text>
        <r>
          <rPr>
            <sz val="11"/>
            <color theme="1"/>
            <rFont val="Calibri"/>
            <scheme val="minor"/>
          </rPr>
          <t>jeny ruiz:
Control del nivel de acuedo entre las partes Cliente y Desarrollador</t>
        </r>
      </text>
    </comment>
    <comment ref="L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N7" authorId="0" shapeId="0" xr:uid="{01FFAB8B-C717-4DB1-B25D-1F7A72FC3465}">
      <text>
        <r>
          <rPr>
            <sz val="11"/>
            <color theme="1"/>
            <rFont val="Calibri"/>
            <scheme val="minor"/>
          </rPr>
          <t>jeny ruiz:
jeny ruiz:
Posterior a la actualización, se guardaran automáticamente el nombre de usuario, fecha, hora, registro antiguo, registro nuevo.</t>
        </r>
      </text>
    </comment>
    <comment ref="O7" authorId="0" shapeId="0" xr:uid="{B7D89C9B-1ED3-4E5A-AA43-65B6CBDEC241}">
      <text>
        <r>
          <rPr>
            <sz val="11"/>
            <color theme="1"/>
            <rFont val="Calibri"/>
            <scheme val="minor"/>
          </rPr>
          <t>jeny ruiz:
Control del nivel de acuedo entre las partes Cliente y Desarrollador</t>
        </r>
      </text>
    </comment>
    <comment ref="P7" authorId="0" shapeId="0" xr:uid="{2144F3A9-03D1-4E85-B9D4-738A6634F22B}">
      <text>
        <r>
          <rPr>
            <sz val="11"/>
            <color theme="1"/>
            <rFont val="Calibri"/>
            <scheme val="minor"/>
          </rPr>
          <t>jeny ruiz:
jeny ruiz:
Posterior a la actualización, se guardaran automáticamente el nombre de usuario, fecha, hora, registro antiguo, registro nuevo.</t>
        </r>
      </text>
    </comment>
    <comment ref="Q7" authorId="0" shapeId="0" xr:uid="{E007E93C-091D-47D6-A8CD-02DCB3C74A35}">
      <text>
        <r>
          <rPr>
            <sz val="11"/>
            <color theme="1"/>
            <rFont val="Calibri"/>
            <scheme val="minor"/>
          </rPr>
          <t>jeny ruiz:
Control del nivel de acuedo entre las partes Cliente y Desarrollador</t>
        </r>
      </text>
    </comment>
    <comment ref="R7" authorId="0" shapeId="0" xr:uid="{B30B4FB9-3EA3-492F-BD41-346F970EB2FC}">
      <text>
        <r>
          <rPr>
            <sz val="11"/>
            <color theme="1"/>
            <rFont val="Calibri"/>
            <scheme val="minor"/>
          </rPr>
          <t>jeny ruiz:
jeny ruiz:
Posterior a la actualización, se guardaran automáticamente el nombre de usuario, fecha, hora, registro antiguo, registro nuevo.</t>
        </r>
      </text>
    </comment>
    <comment ref="S7" authorId="0" shapeId="0" xr:uid="{60C28DCF-6450-4CC9-BE0F-721E321B473D}">
      <text>
        <r>
          <rPr>
            <sz val="11"/>
            <color theme="1"/>
            <rFont val="Calibri"/>
            <scheme val="minor"/>
          </rPr>
          <t>jeny ruiz:
Control del nivel de acuedo entre las partes Cliente y Desarrollador</t>
        </r>
      </text>
    </comment>
    <comment ref="T7" authorId="0" shapeId="0" xr:uid="{3AECABA9-26C7-4A5B-9C92-DA9B551AAE56}">
      <text>
        <r>
          <rPr>
            <sz val="11"/>
            <color theme="1"/>
            <rFont val="Calibri"/>
            <scheme val="minor"/>
          </rPr>
          <t>jeny ruiz:
jeny ruiz:
Posterior a la actualización, se guardaran automáticamente el nombre de usuario, fecha, hora, registro antiguo, registro nuevo.</t>
        </r>
      </text>
    </comment>
    <comment ref="U7" authorId="0" shapeId="0" xr:uid="{9A49C064-63A6-45A9-8B99-F53A0AF438AF}">
      <text>
        <r>
          <rPr>
            <sz val="11"/>
            <color theme="1"/>
            <rFont val="Calibri"/>
            <scheme val="minor"/>
          </rPr>
          <t>jeny ruiz:
Control del nivel de acuedo entre las partes Cliente y Desarrollador</t>
        </r>
      </text>
    </comment>
    <comment ref="V7" authorId="0" shapeId="0" xr:uid="{C5EBD6C4-956A-4E23-92E0-227F7B12E938}">
      <text>
        <r>
          <rPr>
            <sz val="11"/>
            <color theme="1"/>
            <rFont val="Calibri"/>
            <scheme val="minor"/>
          </rPr>
          <t>jeny ruiz:
jeny ruiz:
Posterior a la actualización, se guardaran automáticamente el nombre de usuario, fecha, hora, registro antiguo, registro nuevo.</t>
        </r>
      </text>
    </comment>
    <comment ref="W7" authorId="0" shapeId="0" xr:uid="{B94288C9-C1B5-4DE3-B217-4B0ED8F821A7}">
      <text>
        <r>
          <rPr>
            <sz val="11"/>
            <color theme="1"/>
            <rFont val="Calibri"/>
            <scheme val="minor"/>
          </rPr>
          <t>jeny ruiz:
Control del nivel de acuedo entre las partes Cliente y Desarrollador</t>
        </r>
      </text>
    </comment>
    <comment ref="X7" authorId="0" shapeId="0" xr:uid="{65C8E074-60F6-41A4-98C6-3A72E1F84780}">
      <text>
        <r>
          <rPr>
            <sz val="11"/>
            <color theme="1"/>
            <rFont val="Calibri"/>
            <scheme val="minor"/>
          </rPr>
          <t>jeny ruiz:
jeny ruiz:
Posterior a la actualización, se guardaran automáticamente el nombre de usuario, fecha, hora, registro antiguo, registro nuevo.</t>
        </r>
      </text>
    </comment>
    <comment ref="Y7" authorId="0" shapeId="0" xr:uid="{D6908025-AD30-4386-A8C6-7BB8B6646D20}">
      <text>
        <r>
          <rPr>
            <sz val="11"/>
            <color theme="1"/>
            <rFont val="Calibri"/>
            <scheme val="minor"/>
          </rPr>
          <t>jeny ruiz:
Control del nivel de acuedo entre las partes Cliente y Desarrollador</t>
        </r>
      </text>
    </comment>
    <comment ref="Z7" authorId="0" shapeId="0" xr:uid="{EABDC77E-6E78-4DBD-8C4C-D1201C1147A6}">
      <text>
        <r>
          <rPr>
            <sz val="11"/>
            <color theme="1"/>
            <rFont val="Calibri"/>
            <scheme val="minor"/>
          </rPr>
          <t>jeny ruiz:
jeny ruiz:
Posterior a la actualización, se guardaran automáticamente el nombre de usuario, fecha, hora, registro antiguo, registro nuevo.</t>
        </r>
      </text>
    </comment>
    <comment ref="AA7" authorId="0" shapeId="0" xr:uid="{22B62261-14A2-4D57-951F-39227700ECE8}">
      <text>
        <r>
          <rPr>
            <sz val="11"/>
            <color theme="1"/>
            <rFont val="Calibri"/>
            <scheme val="minor"/>
          </rPr>
          <t>jeny ruiz:
Control del nivel de acuedo entre las partes Cliente y Desarrollador</t>
        </r>
      </text>
    </comment>
    <comment ref="AB7" authorId="0" shapeId="0" xr:uid="{BF461710-FB4B-49F8-831D-80841F5956DE}">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H9" authorId="0" shapeId="0" xr:uid="{00000000-0006-0000-0000-000009000000}">
      <text>
        <r>
          <rPr>
            <sz val="11"/>
            <color theme="1"/>
            <rFont val="Calibri"/>
            <scheme val="minor"/>
          </rPr>
          <t>jeny ruiz:
Es importante ingresar el archivo plano en formato excel para el cliente y el desarrollador</t>
        </r>
      </text>
    </comment>
    <comment ref="L9" authorId="0" shapeId="0" xr:uid="{00000000-0006-0000-0000-00000A000000}">
      <text>
        <r>
          <rPr>
            <sz val="11"/>
            <color theme="1"/>
            <rFont val="Calibri"/>
            <scheme val="minor"/>
          </rPr>
          <t>jeny ruiz:
Es importante ingresar el archivo plano en formato excel para el cliente y el desarrollador</t>
        </r>
      </text>
    </comment>
    <comment ref="P9" authorId="0" shapeId="0" xr:uid="{E7CE64AB-4225-4D74-A752-442D1C5683A0}">
      <text>
        <r>
          <rPr>
            <sz val="11"/>
            <color theme="1"/>
            <rFont val="Calibri"/>
            <scheme val="minor"/>
          </rPr>
          <t>jeny ruiz:
Es importante ingresar el archivo plano en formato excel para el cliente y el desarrollador</t>
        </r>
      </text>
    </comment>
    <comment ref="R9" authorId="0" shapeId="0" xr:uid="{2E6150E2-A82F-4050-BA3E-D96DC93C7128}">
      <text>
        <r>
          <rPr>
            <sz val="11"/>
            <color theme="1"/>
            <rFont val="Calibri"/>
            <scheme val="minor"/>
          </rPr>
          <t>jeny ruiz:
Es importante ingresar el archivo plano en formato excel para el cliente y el desarrollador</t>
        </r>
      </text>
    </comment>
    <comment ref="T9" authorId="0" shapeId="0" xr:uid="{87B6ADAE-0A94-4EE9-97F2-0F5F826A0A07}">
      <text>
        <r>
          <rPr>
            <sz val="11"/>
            <color theme="1"/>
            <rFont val="Calibri"/>
            <scheme val="minor"/>
          </rPr>
          <t>jeny ruiz:
Es importante ingresar el archivo plano en formato excel para el cliente y el desarrollador</t>
        </r>
      </text>
    </comment>
    <comment ref="V9" authorId="0" shapeId="0" xr:uid="{ACF03F44-5904-4ECD-AD4C-4CDAD85BC7F7}">
      <text>
        <r>
          <rPr>
            <sz val="11"/>
            <color theme="1"/>
            <rFont val="Calibri"/>
            <scheme val="minor"/>
          </rPr>
          <t>jeny ruiz:
Es importante ingresar el archivo plano en formato excel para el cliente y el desarrollador</t>
        </r>
      </text>
    </comment>
    <comment ref="X9" authorId="0" shapeId="0" xr:uid="{DF585E18-887C-4DD0-BBB3-19BC6B79D821}">
      <text>
        <r>
          <rPr>
            <sz val="11"/>
            <color theme="1"/>
            <rFont val="Calibri"/>
            <scheme val="minor"/>
          </rPr>
          <t>jeny ruiz:
Es importante ingresar el archivo plano en formato excel para el cliente y el desarrollador</t>
        </r>
      </text>
    </comment>
    <comment ref="Z9" authorId="0" shapeId="0" xr:uid="{8F0A3CC3-5FBE-4223-B2F3-87659A6F934C}">
      <text>
        <r>
          <rPr>
            <sz val="11"/>
            <color theme="1"/>
            <rFont val="Calibri"/>
            <scheme val="minor"/>
          </rPr>
          <t>jeny ruiz:
Es importante ingresar el archivo plano en formato excel para el cliente y el desarrollador</t>
        </r>
      </text>
    </comment>
    <comment ref="AB9" authorId="0" shapeId="0" xr:uid="{D0338B40-3409-4EF5-8EB1-C61375D99974}">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D1F92565-CE5D-4028-B455-4AB6B87E4E62}">
      <text>
        <r>
          <rPr>
            <sz val="11"/>
            <color theme="1"/>
            <rFont val="Calibri"/>
            <scheme val="minor"/>
          </rPr>
          <t>ESPE:
COMPLETITUD DOCUMENTO</t>
        </r>
      </text>
    </comment>
    <comment ref="B9" authorId="0" shapeId="0" xr:uid="{9459FB20-5560-446B-B726-F039C038C835}">
      <text>
        <r>
          <rPr>
            <sz val="11"/>
            <color theme="1"/>
            <rFont val="Calibri"/>
            <scheme val="minor"/>
          </rPr>
          <t xml:space="preserve">ESPE:
COMPLETITUD REQUISITO INDIVIDUAL
</t>
        </r>
      </text>
    </comment>
    <comment ref="B10" authorId="0" shapeId="0" xr:uid="{12B2CCFF-20CE-47C4-9058-AFF1159ABEE7}">
      <text>
        <r>
          <rPr>
            <sz val="11"/>
            <color theme="1"/>
            <rFont val="Calibri"/>
            <scheme val="minor"/>
          </rPr>
          <t>ESPE:
TRAZABILIDAD</t>
        </r>
      </text>
    </comment>
    <comment ref="B11" authorId="0" shapeId="0" xr:uid="{84AF118F-821D-42E4-8190-890D285BC9EF}">
      <text>
        <r>
          <rPr>
            <sz val="11"/>
            <color theme="1"/>
            <rFont val="Calibri"/>
            <scheme val="minor"/>
          </rPr>
          <t xml:space="preserve">ESPE:
trazabilidad
</t>
        </r>
      </text>
    </comment>
    <comment ref="B12" authorId="0" shapeId="0" xr:uid="{EDF7B158-FB77-441A-BACC-44206F408808}">
      <text>
        <r>
          <rPr>
            <sz val="11"/>
            <color theme="1"/>
            <rFont val="Calibri"/>
            <scheme val="minor"/>
          </rPr>
          <t xml:space="preserve">ESPE:
TRAZABILIDAD
</t>
        </r>
      </text>
    </comment>
    <comment ref="B13" authorId="0" shapeId="0" xr:uid="{E6E2DC6B-310C-4FB9-935A-1405C2DB1B85}">
      <text>
        <r>
          <rPr>
            <sz val="11"/>
            <color theme="1"/>
            <rFont val="Calibri"/>
            <scheme val="minor"/>
          </rPr>
          <t xml:space="preserve">ESPE:
CORRECCION
</t>
        </r>
      </text>
    </comment>
    <comment ref="B14" authorId="0" shapeId="0" xr:uid="{7CAFD792-3B13-4EDE-91F4-44BD75B5DE25}">
      <text>
        <r>
          <rPr>
            <sz val="11"/>
            <color theme="1"/>
            <rFont val="Calibri"/>
            <scheme val="minor"/>
          </rPr>
          <t>ESPE:
CONSISTENCIA</t>
        </r>
      </text>
    </comment>
    <comment ref="B15" authorId="0" shapeId="0" xr:uid="{737B5477-0730-4B27-A675-E53536804F0F}">
      <text>
        <r>
          <rPr>
            <sz val="11"/>
            <color theme="1"/>
            <rFont val="Calibri"/>
            <scheme val="minor"/>
          </rPr>
          <t xml:space="preserve">ESPE:
NECESIDAD
</t>
        </r>
      </text>
    </comment>
    <comment ref="B16" authorId="0" shapeId="0" xr:uid="{72091C9C-74FA-40D0-8E74-3F7ED2AE3843}">
      <text>
        <r>
          <rPr>
            <sz val="11"/>
            <color theme="1"/>
            <rFont val="Calibri"/>
            <scheme val="minor"/>
          </rPr>
          <t xml:space="preserve">ESPE:
verificable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6A08ED4D-9AB2-4DB8-90B7-CE731066974E}">
      <text>
        <r>
          <rPr>
            <sz val="11"/>
            <color theme="1"/>
            <rFont val="Calibri"/>
            <scheme val="minor"/>
          </rPr>
          <t>ESPE:
COMPLETITUD DOCUMENTO</t>
        </r>
      </text>
    </comment>
    <comment ref="B9" authorId="0" shapeId="0" xr:uid="{D43E0940-9CBC-42E0-AC64-E203D7EEC1D4}">
      <text>
        <r>
          <rPr>
            <sz val="11"/>
            <color theme="1"/>
            <rFont val="Calibri"/>
            <scheme val="minor"/>
          </rPr>
          <t xml:space="preserve">ESPE:
COMPLETITUD REQUISITO INDIVIDUAL
</t>
        </r>
      </text>
    </comment>
    <comment ref="B10" authorId="0" shapeId="0" xr:uid="{C4A80522-86D4-4414-AB8B-692E1AAABA52}">
      <text>
        <r>
          <rPr>
            <sz val="11"/>
            <color theme="1"/>
            <rFont val="Calibri"/>
            <scheme val="minor"/>
          </rPr>
          <t>ESPE:
TRAZABILIDAD</t>
        </r>
      </text>
    </comment>
    <comment ref="B11" authorId="0" shapeId="0" xr:uid="{78DFF5BE-2324-4551-B172-72C8B788D052}">
      <text>
        <r>
          <rPr>
            <sz val="11"/>
            <color theme="1"/>
            <rFont val="Calibri"/>
            <scheme val="minor"/>
          </rPr>
          <t xml:space="preserve">ESPE:
trazabilidad
</t>
        </r>
      </text>
    </comment>
    <comment ref="B12" authorId="0" shapeId="0" xr:uid="{AA101B71-DE7E-4903-AB96-AE121DAEC850}">
      <text>
        <r>
          <rPr>
            <sz val="11"/>
            <color theme="1"/>
            <rFont val="Calibri"/>
            <scheme val="minor"/>
          </rPr>
          <t xml:space="preserve">ESPE:
TRAZABILIDAD
</t>
        </r>
      </text>
    </comment>
    <comment ref="B13" authorId="0" shapeId="0" xr:uid="{E24F3461-0139-4137-8CB4-62BB7BC5D76D}">
      <text>
        <r>
          <rPr>
            <sz val="11"/>
            <color theme="1"/>
            <rFont val="Calibri"/>
            <scheme val="minor"/>
          </rPr>
          <t xml:space="preserve">ESPE:
CORRECCION
</t>
        </r>
      </text>
    </comment>
    <comment ref="B14" authorId="0" shapeId="0" xr:uid="{8D3290C9-F71B-4D6D-BE51-E688CA66DCA6}">
      <text>
        <r>
          <rPr>
            <sz val="11"/>
            <color theme="1"/>
            <rFont val="Calibri"/>
            <scheme val="minor"/>
          </rPr>
          <t>ESPE:
CONSISTENCIA</t>
        </r>
      </text>
    </comment>
    <comment ref="B15" authorId="0" shapeId="0" xr:uid="{2D9B859B-A8AE-4577-9D5F-970D2A68D0C3}">
      <text>
        <r>
          <rPr>
            <sz val="11"/>
            <color theme="1"/>
            <rFont val="Calibri"/>
            <scheme val="minor"/>
          </rPr>
          <t xml:space="preserve">ESPE:
NECESIDAD
</t>
        </r>
      </text>
    </comment>
    <comment ref="B16" authorId="0" shapeId="0" xr:uid="{FDF1D673-3507-453F-B18B-920F3EA3FBC2}">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F332246-5B98-456F-A157-7C392552C063}">
      <text>
        <r>
          <rPr>
            <sz val="11"/>
            <color theme="1"/>
            <rFont val="Calibri"/>
            <scheme val="minor"/>
          </rPr>
          <t>ESPE:
COMPLETITUD DOCUMENTO</t>
        </r>
      </text>
    </comment>
    <comment ref="B9" authorId="0" shapeId="0" xr:uid="{9C5B8780-7791-46C4-88C6-9E2E4DE8F90C}">
      <text>
        <r>
          <rPr>
            <sz val="11"/>
            <color theme="1"/>
            <rFont val="Calibri"/>
            <scheme val="minor"/>
          </rPr>
          <t xml:space="preserve">ESPE:
COMPLETITUD REQUISITO INDIVIDUAL
</t>
        </r>
      </text>
    </comment>
    <comment ref="B10" authorId="0" shapeId="0" xr:uid="{E4D4AA5A-EF23-419D-A6D5-AC1EE6911D4B}">
      <text>
        <r>
          <rPr>
            <sz val="11"/>
            <color theme="1"/>
            <rFont val="Calibri"/>
            <scheme val="minor"/>
          </rPr>
          <t>ESPE:
TRAZABILIDAD</t>
        </r>
      </text>
    </comment>
    <comment ref="B11" authorId="0" shapeId="0" xr:uid="{C227135B-7DCC-45CA-B570-5DFE3D65E36E}">
      <text>
        <r>
          <rPr>
            <sz val="11"/>
            <color theme="1"/>
            <rFont val="Calibri"/>
            <scheme val="minor"/>
          </rPr>
          <t xml:space="preserve">ESPE:
trazabilidad
</t>
        </r>
      </text>
    </comment>
    <comment ref="B12" authorId="0" shapeId="0" xr:uid="{073508D6-CEB8-4C74-8304-DAC08A5DC382}">
      <text>
        <r>
          <rPr>
            <sz val="11"/>
            <color theme="1"/>
            <rFont val="Calibri"/>
            <scheme val="minor"/>
          </rPr>
          <t xml:space="preserve">ESPE:
TRAZABILIDAD
</t>
        </r>
      </text>
    </comment>
    <comment ref="B13" authorId="0" shapeId="0" xr:uid="{5324D047-4EFD-49BD-8BEA-914F90E313A6}">
      <text>
        <r>
          <rPr>
            <sz val="11"/>
            <color theme="1"/>
            <rFont val="Calibri"/>
            <scheme val="minor"/>
          </rPr>
          <t xml:space="preserve">ESPE:
CORRECCION
</t>
        </r>
      </text>
    </comment>
    <comment ref="B14" authorId="0" shapeId="0" xr:uid="{5F36B105-79C6-4610-A2F6-11491F4D2E1E}">
      <text>
        <r>
          <rPr>
            <sz val="11"/>
            <color theme="1"/>
            <rFont val="Calibri"/>
            <scheme val="minor"/>
          </rPr>
          <t>ESPE:
CONSISTENCIA</t>
        </r>
      </text>
    </comment>
    <comment ref="B15" authorId="0" shapeId="0" xr:uid="{59C6C364-1475-4529-AC55-AEFB6CA00F5F}">
      <text>
        <r>
          <rPr>
            <sz val="11"/>
            <color theme="1"/>
            <rFont val="Calibri"/>
            <scheme val="minor"/>
          </rPr>
          <t xml:space="preserve">ESPE:
NECESIDAD
</t>
        </r>
      </text>
    </comment>
    <comment ref="B16" authorId="0" shapeId="0" xr:uid="{9C939E91-448A-4252-BBD7-65D8924BCAF0}">
      <text>
        <r>
          <rPr>
            <sz val="11"/>
            <color theme="1"/>
            <rFont val="Calibri"/>
            <scheme val="minor"/>
          </rPr>
          <t xml:space="preserve">ESPE:
verificable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5FFA8B34-8D60-4728-AFD7-A6C75086BECF}">
      <text>
        <r>
          <rPr>
            <sz val="11"/>
            <color theme="1"/>
            <rFont val="Calibri"/>
            <scheme val="minor"/>
          </rPr>
          <t>ESPE:
COMPLETITUD DOCUMENTO</t>
        </r>
      </text>
    </comment>
    <comment ref="B9" authorId="0" shapeId="0" xr:uid="{55E051D0-4316-4FF8-A07A-5D2F04B7E60F}">
      <text>
        <r>
          <rPr>
            <sz val="11"/>
            <color theme="1"/>
            <rFont val="Calibri"/>
            <scheme val="minor"/>
          </rPr>
          <t xml:space="preserve">ESPE:
COMPLETITUD REQUISITO INDIVIDUAL
</t>
        </r>
      </text>
    </comment>
    <comment ref="B10" authorId="0" shapeId="0" xr:uid="{CE9F11DB-5DD1-4749-923C-0E5F0EDEE710}">
      <text>
        <r>
          <rPr>
            <sz val="11"/>
            <color theme="1"/>
            <rFont val="Calibri"/>
            <scheme val="minor"/>
          </rPr>
          <t>ESPE:
TRAZABILIDAD</t>
        </r>
      </text>
    </comment>
    <comment ref="B11" authorId="0" shapeId="0" xr:uid="{7F0F6AC8-72C2-4E1C-9CCF-3B6DE0A7F880}">
      <text>
        <r>
          <rPr>
            <sz val="11"/>
            <color theme="1"/>
            <rFont val="Calibri"/>
            <scheme val="minor"/>
          </rPr>
          <t xml:space="preserve">ESPE:
trazabilidad
</t>
        </r>
      </text>
    </comment>
    <comment ref="B12" authorId="0" shapeId="0" xr:uid="{22481684-2425-4AD1-937F-43B08DC81729}">
      <text>
        <r>
          <rPr>
            <sz val="11"/>
            <color theme="1"/>
            <rFont val="Calibri"/>
            <scheme val="minor"/>
          </rPr>
          <t xml:space="preserve">ESPE:
TRAZABILIDAD
</t>
        </r>
      </text>
    </comment>
    <comment ref="B13" authorId="0" shapeId="0" xr:uid="{9E875115-32AD-4BAD-895D-27D4DBD3B120}">
      <text>
        <r>
          <rPr>
            <sz val="11"/>
            <color theme="1"/>
            <rFont val="Calibri"/>
            <scheme val="minor"/>
          </rPr>
          <t xml:space="preserve">ESPE:
CORRECCION
</t>
        </r>
      </text>
    </comment>
    <comment ref="B14" authorId="0" shapeId="0" xr:uid="{6FE66CD0-5B97-4F84-B8AB-D0A3FDCF38A3}">
      <text>
        <r>
          <rPr>
            <sz val="11"/>
            <color theme="1"/>
            <rFont val="Calibri"/>
            <scheme val="minor"/>
          </rPr>
          <t>ESPE:
CONSISTENCIA</t>
        </r>
      </text>
    </comment>
    <comment ref="B15" authorId="0" shapeId="0" xr:uid="{09301A2B-A38B-42AC-A63B-31B06994A9CC}">
      <text>
        <r>
          <rPr>
            <sz val="11"/>
            <color theme="1"/>
            <rFont val="Calibri"/>
            <scheme val="minor"/>
          </rPr>
          <t xml:space="preserve">ESPE:
NECESIDAD
</t>
        </r>
      </text>
    </comment>
    <comment ref="B16" authorId="0" shapeId="0" xr:uid="{56F1EBD2-9E51-4321-A10A-7471DA9A2C88}">
      <text>
        <r>
          <rPr>
            <sz val="11"/>
            <color theme="1"/>
            <rFont val="Calibri"/>
            <scheme val="minor"/>
          </rPr>
          <t xml:space="preserve">ESPE:
verificable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584B97AD-DFDA-436F-9BF8-588C8C81A89A}">
      <text>
        <r>
          <rPr>
            <sz val="11"/>
            <color theme="1"/>
            <rFont val="Calibri"/>
            <scheme val="minor"/>
          </rPr>
          <t>ESPE:
COMPLETITUD DOCUMENTO</t>
        </r>
      </text>
    </comment>
    <comment ref="B9" authorId="0" shapeId="0" xr:uid="{3A9048D5-310F-4109-8B2B-73F5E1597F1B}">
      <text>
        <r>
          <rPr>
            <sz val="11"/>
            <color theme="1"/>
            <rFont val="Calibri"/>
            <scheme val="minor"/>
          </rPr>
          <t xml:space="preserve">ESPE:
COMPLETITUD REQUISITO INDIVIDUAL
</t>
        </r>
      </text>
    </comment>
    <comment ref="B10" authorId="0" shapeId="0" xr:uid="{CE1ED9FC-0A18-457A-AAC4-DC77D7F0CBB3}">
      <text>
        <r>
          <rPr>
            <sz val="11"/>
            <color theme="1"/>
            <rFont val="Calibri"/>
            <scheme val="minor"/>
          </rPr>
          <t>ESPE:
TRAZABILIDAD</t>
        </r>
      </text>
    </comment>
    <comment ref="B11" authorId="0" shapeId="0" xr:uid="{3A0C1931-F8B0-4320-B812-4BCBA92F25A4}">
      <text>
        <r>
          <rPr>
            <sz val="11"/>
            <color theme="1"/>
            <rFont val="Calibri"/>
            <scheme val="minor"/>
          </rPr>
          <t xml:space="preserve">ESPE:
trazabilidad
</t>
        </r>
      </text>
    </comment>
    <comment ref="B12" authorId="0" shapeId="0" xr:uid="{B985CD38-AF2D-4B51-AECA-C7F9C38DEBCE}">
      <text>
        <r>
          <rPr>
            <sz val="11"/>
            <color theme="1"/>
            <rFont val="Calibri"/>
            <scheme val="minor"/>
          </rPr>
          <t xml:space="preserve">ESPE:
TRAZABILIDAD
</t>
        </r>
      </text>
    </comment>
    <comment ref="B13" authorId="0" shapeId="0" xr:uid="{C70C742D-258E-4205-89B6-0542C0671C5D}">
      <text>
        <r>
          <rPr>
            <sz val="11"/>
            <color theme="1"/>
            <rFont val="Calibri"/>
            <scheme val="minor"/>
          </rPr>
          <t xml:space="preserve">ESPE:
CORRECCION
</t>
        </r>
      </text>
    </comment>
    <comment ref="B14" authorId="0" shapeId="0" xr:uid="{7BECC735-5B7A-41DB-B6CF-F38B0C54759F}">
      <text>
        <r>
          <rPr>
            <sz val="11"/>
            <color theme="1"/>
            <rFont val="Calibri"/>
            <scheme val="minor"/>
          </rPr>
          <t>ESPE:
CONSISTENCIA</t>
        </r>
      </text>
    </comment>
    <comment ref="B15" authorId="0" shapeId="0" xr:uid="{DFAFFD41-053A-40A7-9F70-D9F83F8F0A5A}">
      <text>
        <r>
          <rPr>
            <sz val="11"/>
            <color theme="1"/>
            <rFont val="Calibri"/>
            <scheme val="minor"/>
          </rPr>
          <t xml:space="preserve">ESPE:
NECESIDAD
</t>
        </r>
      </text>
    </comment>
    <comment ref="B16" authorId="0" shapeId="0" xr:uid="{117BB0FE-58B2-4A34-9AB2-3B8D8563567D}">
      <text>
        <r>
          <rPr>
            <sz val="11"/>
            <color theme="1"/>
            <rFont val="Calibri"/>
            <scheme val="minor"/>
          </rPr>
          <t xml:space="preserve">ESPE:
verificable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DA35933-3C62-45EE-A30A-9590882B4266}">
      <text>
        <r>
          <rPr>
            <sz val="11"/>
            <color theme="1"/>
            <rFont val="Calibri"/>
            <scheme val="minor"/>
          </rPr>
          <t>ESPE:
COMPLETITUD DOCUMENTO</t>
        </r>
      </text>
    </comment>
    <comment ref="B9" authorId="0" shapeId="0" xr:uid="{D393754C-0FB3-404C-A142-7B745016536C}">
      <text>
        <r>
          <rPr>
            <sz val="11"/>
            <color theme="1"/>
            <rFont val="Calibri"/>
            <scheme val="minor"/>
          </rPr>
          <t xml:space="preserve">ESPE:
COMPLETITUD REQUISITO INDIVIDUAL
</t>
        </r>
      </text>
    </comment>
    <comment ref="B10" authorId="0" shapeId="0" xr:uid="{969F6221-2760-4EFA-95D7-8F9D523991D5}">
      <text>
        <r>
          <rPr>
            <sz val="11"/>
            <color theme="1"/>
            <rFont val="Calibri"/>
            <scheme val="minor"/>
          </rPr>
          <t>ESPE:
TRAZABILIDAD</t>
        </r>
      </text>
    </comment>
    <comment ref="B11" authorId="0" shapeId="0" xr:uid="{B96095F2-8434-408C-850B-CEB491B65462}">
      <text>
        <r>
          <rPr>
            <sz val="11"/>
            <color theme="1"/>
            <rFont val="Calibri"/>
            <scheme val="minor"/>
          </rPr>
          <t xml:space="preserve">ESPE:
trazabilidad
</t>
        </r>
      </text>
    </comment>
    <comment ref="B12" authorId="0" shapeId="0" xr:uid="{E40897EB-8700-4AC9-8B2E-8C0CA6966E79}">
      <text>
        <r>
          <rPr>
            <sz val="11"/>
            <color theme="1"/>
            <rFont val="Calibri"/>
            <scheme val="minor"/>
          </rPr>
          <t xml:space="preserve">ESPE:
TRAZABILIDAD
</t>
        </r>
      </text>
    </comment>
    <comment ref="B13" authorId="0" shapeId="0" xr:uid="{B513371A-A429-40B4-91DA-C0C01C46CAC0}">
      <text>
        <r>
          <rPr>
            <sz val="11"/>
            <color theme="1"/>
            <rFont val="Calibri"/>
            <scheme val="minor"/>
          </rPr>
          <t xml:space="preserve">ESPE:
CORRECCION
</t>
        </r>
      </text>
    </comment>
    <comment ref="B14" authorId="0" shapeId="0" xr:uid="{0EA28095-C421-4AEB-A5B9-0513069F1C57}">
      <text>
        <r>
          <rPr>
            <sz val="11"/>
            <color theme="1"/>
            <rFont val="Calibri"/>
            <scheme val="minor"/>
          </rPr>
          <t>ESPE:
CONSISTENCIA</t>
        </r>
      </text>
    </comment>
    <comment ref="B15" authorId="0" shapeId="0" xr:uid="{BD758207-4AB6-4614-8F14-104545C5FA26}">
      <text>
        <r>
          <rPr>
            <sz val="11"/>
            <color theme="1"/>
            <rFont val="Calibri"/>
            <scheme val="minor"/>
          </rPr>
          <t xml:space="preserve">ESPE:
NECESIDAD
</t>
        </r>
      </text>
    </comment>
    <comment ref="B16" authorId="0" shapeId="0" xr:uid="{2D44FD1F-B9E2-40F4-9B91-4A93174C1417}">
      <text>
        <r>
          <rPr>
            <sz val="11"/>
            <color theme="1"/>
            <rFont val="Calibri"/>
            <scheme val="minor"/>
          </rPr>
          <t xml:space="preserve">ESPE:
verificable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8FA2D55-F534-4879-857B-73D4111F14CA}">
      <text>
        <r>
          <rPr>
            <sz val="11"/>
            <color theme="1"/>
            <rFont val="Calibri"/>
            <scheme val="minor"/>
          </rPr>
          <t>ESPE:
COMPLETITUD DOCUMENTO</t>
        </r>
      </text>
    </comment>
    <comment ref="B9" authorId="0" shapeId="0" xr:uid="{13014776-D0A0-4C38-83E6-65B521C53003}">
      <text>
        <r>
          <rPr>
            <sz val="11"/>
            <color theme="1"/>
            <rFont val="Calibri"/>
            <scheme val="minor"/>
          </rPr>
          <t xml:space="preserve">ESPE:
COMPLETITUD REQUISITO INDIVIDUAL
</t>
        </r>
      </text>
    </comment>
    <comment ref="B10" authorId="0" shapeId="0" xr:uid="{2095614C-D259-4FF1-8547-C4668CE70968}">
      <text>
        <r>
          <rPr>
            <sz val="11"/>
            <color theme="1"/>
            <rFont val="Calibri"/>
            <scheme val="minor"/>
          </rPr>
          <t>ESPE:
TRAZABILIDAD</t>
        </r>
      </text>
    </comment>
    <comment ref="B11" authorId="0" shapeId="0" xr:uid="{A0466CCB-11A8-467E-8693-9CFACDB669FD}">
      <text>
        <r>
          <rPr>
            <sz val="11"/>
            <color theme="1"/>
            <rFont val="Calibri"/>
            <scheme val="minor"/>
          </rPr>
          <t xml:space="preserve">ESPE:
trazabilidad
</t>
        </r>
      </text>
    </comment>
    <comment ref="B12" authorId="0" shapeId="0" xr:uid="{8B332E6D-4390-496B-BED8-5711E102715C}">
      <text>
        <r>
          <rPr>
            <sz val="11"/>
            <color theme="1"/>
            <rFont val="Calibri"/>
            <scheme val="minor"/>
          </rPr>
          <t xml:space="preserve">ESPE:
TRAZABILIDAD
</t>
        </r>
      </text>
    </comment>
    <comment ref="B13" authorId="0" shapeId="0" xr:uid="{5B80BEE2-5EAB-43A4-8313-2B7357F002D1}">
      <text>
        <r>
          <rPr>
            <sz val="11"/>
            <color theme="1"/>
            <rFont val="Calibri"/>
            <scheme val="minor"/>
          </rPr>
          <t xml:space="preserve">ESPE:
CORRECCION
</t>
        </r>
      </text>
    </comment>
    <comment ref="B14" authorId="0" shapeId="0" xr:uid="{334E7F56-E8CB-4A92-8495-82B2AFCABCB8}">
      <text>
        <r>
          <rPr>
            <sz val="11"/>
            <color theme="1"/>
            <rFont val="Calibri"/>
            <scheme val="minor"/>
          </rPr>
          <t>ESPE:
CONSISTENCIA</t>
        </r>
      </text>
    </comment>
    <comment ref="B15" authorId="0" shapeId="0" xr:uid="{CDFA26FF-8DC7-4780-A244-F83088B49624}">
      <text>
        <r>
          <rPr>
            <sz val="11"/>
            <color theme="1"/>
            <rFont val="Calibri"/>
            <scheme val="minor"/>
          </rPr>
          <t xml:space="preserve">ESPE:
NECESIDAD
</t>
        </r>
      </text>
    </comment>
    <comment ref="B16" authorId="0" shapeId="0" xr:uid="{F0AA176D-29D1-41DE-BC48-9B74BF878FF3}">
      <text>
        <r>
          <rPr>
            <sz val="11"/>
            <color theme="1"/>
            <rFont val="Calibri"/>
            <scheme val="minor"/>
          </rPr>
          <t xml:space="preserve">ESPE:
verificable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DF6C8ED0-EC32-45D4-9EB9-90E13FD8B10D}">
      <text>
        <r>
          <rPr>
            <sz val="11"/>
            <color theme="1"/>
            <rFont val="Calibri"/>
            <scheme val="minor"/>
          </rPr>
          <t>ESPE:
COMPLETITUD DOCUMENTO</t>
        </r>
      </text>
    </comment>
    <comment ref="B9" authorId="0" shapeId="0" xr:uid="{5961B0B6-C76F-40E9-9F06-72CB2FA95A83}">
      <text>
        <r>
          <rPr>
            <sz val="11"/>
            <color theme="1"/>
            <rFont val="Calibri"/>
            <scheme val="minor"/>
          </rPr>
          <t xml:space="preserve">ESPE:
COMPLETITUD REQUISITO INDIVIDUAL
</t>
        </r>
      </text>
    </comment>
    <comment ref="B10" authorId="0" shapeId="0" xr:uid="{53DB4BB0-CF25-49F9-88CA-DA92A5840688}">
      <text>
        <r>
          <rPr>
            <sz val="11"/>
            <color theme="1"/>
            <rFont val="Calibri"/>
            <scheme val="minor"/>
          </rPr>
          <t>ESPE:
TRAZABILIDAD</t>
        </r>
      </text>
    </comment>
    <comment ref="B11" authorId="0" shapeId="0" xr:uid="{8155869A-DCF3-45EC-BDF3-8E90CD67A943}">
      <text>
        <r>
          <rPr>
            <sz val="11"/>
            <color theme="1"/>
            <rFont val="Calibri"/>
            <scheme val="minor"/>
          </rPr>
          <t xml:space="preserve">ESPE:
trazabilidad
</t>
        </r>
      </text>
    </comment>
    <comment ref="B12" authorId="0" shapeId="0" xr:uid="{740593F8-89EF-4C0B-9596-8E8EFFB828B1}">
      <text>
        <r>
          <rPr>
            <sz val="11"/>
            <color theme="1"/>
            <rFont val="Calibri"/>
            <scheme val="minor"/>
          </rPr>
          <t xml:space="preserve">ESPE:
TRAZABILIDAD
</t>
        </r>
      </text>
    </comment>
    <comment ref="B13" authorId="0" shapeId="0" xr:uid="{E02ADCA2-135A-4951-A6C3-7F9482F96E12}">
      <text>
        <r>
          <rPr>
            <sz val="11"/>
            <color theme="1"/>
            <rFont val="Calibri"/>
            <scheme val="minor"/>
          </rPr>
          <t xml:space="preserve">ESPE:
CORRECCION
</t>
        </r>
      </text>
    </comment>
    <comment ref="B14" authorId="0" shapeId="0" xr:uid="{0F4B9D0D-7DE7-4380-8DE8-7C86AF6E9FBD}">
      <text>
        <r>
          <rPr>
            <sz val="11"/>
            <color theme="1"/>
            <rFont val="Calibri"/>
            <scheme val="minor"/>
          </rPr>
          <t>ESPE:
CONSISTENCIA</t>
        </r>
      </text>
    </comment>
    <comment ref="B15" authorId="0" shapeId="0" xr:uid="{9772D4D4-1351-45FD-A6BD-917793A117C5}">
      <text>
        <r>
          <rPr>
            <sz val="11"/>
            <color theme="1"/>
            <rFont val="Calibri"/>
            <scheme val="minor"/>
          </rPr>
          <t xml:space="preserve">ESPE:
NECESIDAD
</t>
        </r>
      </text>
    </comment>
    <comment ref="B16" authorId="0" shapeId="0" xr:uid="{EB9CA12A-D6F2-4CC9-90EA-B90746361747}">
      <text>
        <r>
          <rPr>
            <sz val="11"/>
            <color theme="1"/>
            <rFont val="Calibri"/>
            <scheme val="minor"/>
          </rPr>
          <t xml:space="preserve">ESPE:
verificable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E0C6B973-C374-4A0C-A05E-BAE0E0F53D98}">
      <text>
        <r>
          <rPr>
            <sz val="11"/>
            <color theme="1"/>
            <rFont val="Calibri"/>
            <scheme val="minor"/>
          </rPr>
          <t>ESPE:
COMPLETITUD DOCUMENTO</t>
        </r>
      </text>
    </comment>
    <comment ref="B9" authorId="0" shapeId="0" xr:uid="{A6564E49-9723-4992-A5F8-5B74C30E301A}">
      <text>
        <r>
          <rPr>
            <sz val="11"/>
            <color theme="1"/>
            <rFont val="Calibri"/>
            <scheme val="minor"/>
          </rPr>
          <t xml:space="preserve">ESPE:
COMPLETITUD REQUISITO INDIVIDUAL
</t>
        </r>
      </text>
    </comment>
    <comment ref="B10" authorId="0" shapeId="0" xr:uid="{D6477BAD-72E0-474D-9582-80D612FAB109}">
      <text>
        <r>
          <rPr>
            <sz val="11"/>
            <color theme="1"/>
            <rFont val="Calibri"/>
            <scheme val="minor"/>
          </rPr>
          <t>ESPE:
TRAZABILIDAD</t>
        </r>
      </text>
    </comment>
    <comment ref="B11" authorId="0" shapeId="0" xr:uid="{48C81B9A-D8D8-487C-81D3-4BCA33B730F7}">
      <text>
        <r>
          <rPr>
            <sz val="11"/>
            <color theme="1"/>
            <rFont val="Calibri"/>
            <scheme val="minor"/>
          </rPr>
          <t xml:space="preserve">ESPE:
trazabilidad
</t>
        </r>
      </text>
    </comment>
    <comment ref="B12" authorId="0" shapeId="0" xr:uid="{E62BF9E9-7F7F-4CD5-A29C-2049A2B801F0}">
      <text>
        <r>
          <rPr>
            <sz val="11"/>
            <color theme="1"/>
            <rFont val="Calibri"/>
            <scheme val="minor"/>
          </rPr>
          <t xml:space="preserve">ESPE:
TRAZABILIDAD
</t>
        </r>
      </text>
    </comment>
    <comment ref="B13" authorId="0" shapeId="0" xr:uid="{C889F049-E47A-48D1-AC5D-DD1C591CAE94}">
      <text>
        <r>
          <rPr>
            <sz val="11"/>
            <color theme="1"/>
            <rFont val="Calibri"/>
            <scheme val="minor"/>
          </rPr>
          <t xml:space="preserve">ESPE:
CORRECCION
</t>
        </r>
      </text>
    </comment>
    <comment ref="B14" authorId="0" shapeId="0" xr:uid="{CA6D84A5-E04C-473F-9F02-FDD86DC2E473}">
      <text>
        <r>
          <rPr>
            <sz val="11"/>
            <color theme="1"/>
            <rFont val="Calibri"/>
            <scheme val="minor"/>
          </rPr>
          <t>ESPE:
CONSISTENCIA</t>
        </r>
      </text>
    </comment>
    <comment ref="B15" authorId="0" shapeId="0" xr:uid="{6D23372F-05BD-4A3B-989E-2E3480B58807}">
      <text>
        <r>
          <rPr>
            <sz val="11"/>
            <color theme="1"/>
            <rFont val="Calibri"/>
            <scheme val="minor"/>
          </rPr>
          <t xml:space="preserve">ESPE:
NECESIDAD
</t>
        </r>
      </text>
    </comment>
    <comment ref="B16" authorId="0" shapeId="0" xr:uid="{719AD2A6-DB52-474A-B46E-021BAFF492AE}">
      <text>
        <r>
          <rPr>
            <sz val="11"/>
            <color theme="1"/>
            <rFont val="Calibri"/>
            <scheme val="minor"/>
          </rPr>
          <t xml:space="preserve">ESPE:
verificable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382C0A54-C2DC-4A9C-9B58-26C2E228A3DA}">
      <text>
        <r>
          <rPr>
            <sz val="11"/>
            <color theme="1"/>
            <rFont val="Calibri"/>
            <scheme val="minor"/>
          </rPr>
          <t>ESPE:
COMPLETITUD DOCUMENTO</t>
        </r>
      </text>
    </comment>
    <comment ref="B9" authorId="0" shapeId="0" xr:uid="{1ACF2C1D-8A8E-42DD-9ED4-D56D71692601}">
      <text>
        <r>
          <rPr>
            <sz val="11"/>
            <color theme="1"/>
            <rFont val="Calibri"/>
            <scheme val="minor"/>
          </rPr>
          <t xml:space="preserve">ESPE:
COMPLETITUD REQUISITO INDIVIDUAL
</t>
        </r>
      </text>
    </comment>
    <comment ref="B10" authorId="0" shapeId="0" xr:uid="{CE02E6CB-EFF5-4C02-9D7C-82297E0F0922}">
      <text>
        <r>
          <rPr>
            <sz val="11"/>
            <color theme="1"/>
            <rFont val="Calibri"/>
            <scheme val="minor"/>
          </rPr>
          <t>ESPE:
TRAZABILIDAD</t>
        </r>
      </text>
    </comment>
    <comment ref="B11" authorId="0" shapeId="0" xr:uid="{17092B51-C66F-4422-AAC9-9D3235DE2C3E}">
      <text>
        <r>
          <rPr>
            <sz val="11"/>
            <color theme="1"/>
            <rFont val="Calibri"/>
            <scheme val="minor"/>
          </rPr>
          <t xml:space="preserve">ESPE:
trazabilidad
</t>
        </r>
      </text>
    </comment>
    <comment ref="B12" authorId="0" shapeId="0" xr:uid="{431D6392-C9D7-464C-BAB9-AE1850141184}">
      <text>
        <r>
          <rPr>
            <sz val="11"/>
            <color theme="1"/>
            <rFont val="Calibri"/>
            <scheme val="minor"/>
          </rPr>
          <t xml:space="preserve">ESPE:
TRAZABILIDAD
</t>
        </r>
      </text>
    </comment>
    <comment ref="B13" authorId="0" shapeId="0" xr:uid="{DA6D3A55-FE34-47D1-B1F8-F91ADD93C6AC}">
      <text>
        <r>
          <rPr>
            <sz val="11"/>
            <color theme="1"/>
            <rFont val="Calibri"/>
            <scheme val="minor"/>
          </rPr>
          <t xml:space="preserve">ESPE:
CORRECCION
</t>
        </r>
      </text>
    </comment>
    <comment ref="B14" authorId="0" shapeId="0" xr:uid="{B171EA71-A702-4B9E-B220-7B2AB3D93207}">
      <text>
        <r>
          <rPr>
            <sz val="11"/>
            <color theme="1"/>
            <rFont val="Calibri"/>
            <scheme val="minor"/>
          </rPr>
          <t>ESPE:
CONSISTENCIA</t>
        </r>
      </text>
    </comment>
    <comment ref="B15" authorId="0" shapeId="0" xr:uid="{1E1050C9-24CD-4579-8A3D-456A4A62DB1E}">
      <text>
        <r>
          <rPr>
            <sz val="11"/>
            <color theme="1"/>
            <rFont val="Calibri"/>
            <scheme val="minor"/>
          </rPr>
          <t xml:space="preserve">ESPE:
NECESIDAD
</t>
        </r>
      </text>
    </comment>
    <comment ref="B16" authorId="0" shapeId="0" xr:uid="{9EE2AE21-BF55-495E-ADB4-28402E638DC2}">
      <text>
        <r>
          <rPr>
            <sz val="11"/>
            <color theme="1"/>
            <rFont val="Calibri"/>
            <scheme val="minor"/>
          </rPr>
          <t xml:space="preserve">ESPE:
verificable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A3039F63-8BD2-4A80-BFF2-7024B14A93A5}">
      <text>
        <r>
          <rPr>
            <sz val="11"/>
            <color theme="1"/>
            <rFont val="Calibri"/>
            <scheme val="minor"/>
          </rPr>
          <t>ESPE:
COMPLETITUD DOCUMENTO</t>
        </r>
      </text>
    </comment>
    <comment ref="B9" authorId="0" shapeId="0" xr:uid="{ABCAA02E-8F32-4475-B4BF-9C04B4472242}">
      <text>
        <r>
          <rPr>
            <sz val="11"/>
            <color theme="1"/>
            <rFont val="Calibri"/>
            <scheme val="minor"/>
          </rPr>
          <t xml:space="preserve">ESPE:
COMPLETITUD REQUISITO INDIVIDUAL
</t>
        </r>
      </text>
    </comment>
    <comment ref="B10" authorId="0" shapeId="0" xr:uid="{F2B4CF6E-DD0C-423B-AD81-ECE14C2A171E}">
      <text>
        <r>
          <rPr>
            <sz val="11"/>
            <color theme="1"/>
            <rFont val="Calibri"/>
            <scheme val="minor"/>
          </rPr>
          <t>ESPE:
TRAZABILIDAD</t>
        </r>
      </text>
    </comment>
    <comment ref="B11" authorId="0" shapeId="0" xr:uid="{644B3517-BB3D-4841-8B75-6D5A48A4D037}">
      <text>
        <r>
          <rPr>
            <sz val="11"/>
            <color theme="1"/>
            <rFont val="Calibri"/>
            <scheme val="minor"/>
          </rPr>
          <t xml:space="preserve">ESPE:
trazabilidad
</t>
        </r>
      </text>
    </comment>
    <comment ref="B12" authorId="0" shapeId="0" xr:uid="{1C7FC456-69D8-4FC7-90B7-DA810C028685}">
      <text>
        <r>
          <rPr>
            <sz val="11"/>
            <color theme="1"/>
            <rFont val="Calibri"/>
            <scheme val="minor"/>
          </rPr>
          <t xml:space="preserve">ESPE:
TRAZABILIDAD
</t>
        </r>
      </text>
    </comment>
    <comment ref="B13" authorId="0" shapeId="0" xr:uid="{62F3A87F-012B-4D43-BA47-BBED192EFDF2}">
      <text>
        <r>
          <rPr>
            <sz val="11"/>
            <color theme="1"/>
            <rFont val="Calibri"/>
            <scheme val="minor"/>
          </rPr>
          <t xml:space="preserve">ESPE:
CORRECCION
</t>
        </r>
      </text>
    </comment>
    <comment ref="B14" authorId="0" shapeId="0" xr:uid="{B79017B2-033C-4DEC-85D3-70A86C55DE7B}">
      <text>
        <r>
          <rPr>
            <sz val="11"/>
            <color theme="1"/>
            <rFont val="Calibri"/>
            <scheme val="minor"/>
          </rPr>
          <t>ESPE:
CONSISTENCIA</t>
        </r>
      </text>
    </comment>
    <comment ref="B15" authorId="0" shapeId="0" xr:uid="{563848A9-89E3-4350-BC3B-41666198FBBD}">
      <text>
        <r>
          <rPr>
            <sz val="11"/>
            <color theme="1"/>
            <rFont val="Calibri"/>
            <scheme val="minor"/>
          </rPr>
          <t xml:space="preserve">ESPE:
NECESIDAD
</t>
        </r>
      </text>
    </comment>
    <comment ref="B16" authorId="0" shapeId="0" xr:uid="{619926D6-875E-4457-B73E-70113055E65A}">
      <text>
        <r>
          <rPr>
            <sz val="11"/>
            <color theme="1"/>
            <rFont val="Calibri"/>
            <scheme val="minor"/>
          </rPr>
          <t xml:space="preserve">ESPE:
verificable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71479F1E-6206-4BD5-89CC-1FC15D01EBDB}">
      <text>
        <r>
          <rPr>
            <sz val="11"/>
            <color theme="1"/>
            <rFont val="Calibri"/>
            <scheme val="minor"/>
          </rPr>
          <t>ESPE:
COMPLETITUD DOCUMENTO</t>
        </r>
      </text>
    </comment>
    <comment ref="B9" authorId="0" shapeId="0" xr:uid="{A4231765-03D3-4AC4-B343-1DE2954F5866}">
      <text>
        <r>
          <rPr>
            <sz val="11"/>
            <color theme="1"/>
            <rFont val="Calibri"/>
            <scheme val="minor"/>
          </rPr>
          <t xml:space="preserve">ESPE:
COMPLETITUD REQUISITO INDIVIDUAL
</t>
        </r>
      </text>
    </comment>
    <comment ref="B10" authorId="0" shapeId="0" xr:uid="{CAC6838F-2C7C-48FA-84A7-C4691C3C4FB1}">
      <text>
        <r>
          <rPr>
            <sz val="11"/>
            <color theme="1"/>
            <rFont val="Calibri"/>
            <scheme val="minor"/>
          </rPr>
          <t>ESPE:
TRAZABILIDAD</t>
        </r>
      </text>
    </comment>
    <comment ref="B11" authorId="0" shapeId="0" xr:uid="{71E5A9F0-4C97-480A-A0C7-27F9E228B82D}">
      <text>
        <r>
          <rPr>
            <sz val="11"/>
            <color theme="1"/>
            <rFont val="Calibri"/>
            <scheme val="minor"/>
          </rPr>
          <t xml:space="preserve">ESPE:
trazabilidad
</t>
        </r>
      </text>
    </comment>
    <comment ref="B12" authorId="0" shapeId="0" xr:uid="{282BD6E4-E1FD-4AE6-A3F5-36D9277C2249}">
      <text>
        <r>
          <rPr>
            <sz val="11"/>
            <color theme="1"/>
            <rFont val="Calibri"/>
            <scheme val="minor"/>
          </rPr>
          <t xml:space="preserve">ESPE:
TRAZABILIDAD
</t>
        </r>
      </text>
    </comment>
    <comment ref="B13" authorId="0" shapeId="0" xr:uid="{9FC2E6DE-079C-47D9-99C9-7F6469E91CD3}">
      <text>
        <r>
          <rPr>
            <sz val="11"/>
            <color theme="1"/>
            <rFont val="Calibri"/>
            <scheme val="minor"/>
          </rPr>
          <t xml:space="preserve">ESPE:
CORRECCION
</t>
        </r>
      </text>
    </comment>
    <comment ref="B14" authorId="0" shapeId="0" xr:uid="{4D26F344-5299-465A-8EB4-BF3352C5E495}">
      <text>
        <r>
          <rPr>
            <sz val="11"/>
            <color theme="1"/>
            <rFont val="Calibri"/>
            <scheme val="minor"/>
          </rPr>
          <t>ESPE:
CONSISTENCIA</t>
        </r>
      </text>
    </comment>
    <comment ref="B15" authorId="0" shapeId="0" xr:uid="{201110F3-9B44-480D-9CB9-23C441379171}">
      <text>
        <r>
          <rPr>
            <sz val="11"/>
            <color theme="1"/>
            <rFont val="Calibri"/>
            <scheme val="minor"/>
          </rPr>
          <t xml:space="preserve">ESPE:
NECESIDAD
</t>
        </r>
      </text>
    </comment>
    <comment ref="B16" authorId="0" shapeId="0" xr:uid="{165DDBAC-E97E-49F7-842D-080432573570}">
      <text>
        <r>
          <rPr>
            <sz val="11"/>
            <color theme="1"/>
            <rFont val="Calibri"/>
            <scheme val="minor"/>
          </rPr>
          <t xml:space="preserve">ESPE:
verificable 
</t>
        </r>
      </text>
    </comment>
  </commentList>
</comments>
</file>

<file path=xl/sharedStrings.xml><?xml version="1.0" encoding="utf-8"?>
<sst xmlns="http://schemas.openxmlformats.org/spreadsheetml/2006/main" count="1237" uniqueCount="270">
  <si>
    <t>MATRIZ PARA COMPROBACIÓN REQUERIMIENTOS DE CALIDAD DE PROYECTO ACADEMICO</t>
  </si>
  <si>
    <t>SISTEMA:</t>
  </si>
  <si>
    <t>SISTEMA DE INVENTARIO DE MATERIA PRIMA (SIMP)</t>
  </si>
  <si>
    <t>Requerimientos  Funcionales</t>
  </si>
  <si>
    <t>Nº</t>
  </si>
  <si>
    <t>CRITERIOS DE CALIDAD (Documento/Requerimientos)</t>
  </si>
  <si>
    <t>Status
Nivel de Acuerdo</t>
  </si>
  <si>
    <t>CU001.1  GESTIONAR PRODUCTOS</t>
  </si>
  <si>
    <t>CU001.2 Gestionar unidades de medida</t>
  </si>
  <si>
    <t>CU001.3 Gestionar categorías de inventario</t>
  </si>
  <si>
    <t>CU001.4 Consolidar Inventario del Sistema</t>
  </si>
  <si>
    <t>CU001.5 Gestionar compras</t>
  </si>
  <si>
    <t>CU001.6 Alertar de Cantidad de Existencias Baja</t>
  </si>
  <si>
    <t>CU001.7 Consultar existencias</t>
  </si>
  <si>
    <t>CU001.8 Generar Reportes de Inventario</t>
  </si>
  <si>
    <t>CU001.9 Registrar estado físico del inventario</t>
  </si>
  <si>
    <t>CU001.10 Registrar estado físico del inventario</t>
  </si>
  <si>
    <t>CU001.11 Registrar Novedades de Inventario</t>
  </si>
  <si>
    <t>CU001.12 Registrar automáticamente novedades de conteo</t>
  </si>
  <si>
    <t>Agreed</t>
  </si>
  <si>
    <t>OK</t>
  </si>
  <si>
    <t>1. Videoconferencia de la entrevista
2. Minuta de la entrevista
3. Aceptación por videoconferencia</t>
  </si>
  <si>
    <t>1. Videoconferencia de la entrevista                                                                                                                    2. Minuta de la entrevista
3. Aceptación del prototipo no funcional mediante videoconferencia</t>
  </si>
  <si>
    <t>1. Videoconferencia de la entrevista
2. El requerimiento fue levantado y validado en las entrevistas con el cliente</t>
  </si>
  <si>
    <t>1. Videoconferencia de la entrevista
2. Minuta de la entrevista
3. Aceptación del prototipo no funcional de registro de inventario mediante videoconferencia</t>
  </si>
  <si>
    <t>Ranked</t>
  </si>
  <si>
    <t>1. En la descripción del caso de Uso se especifica la prioridad Primario</t>
  </si>
  <si>
    <t>1. En la descripción del caso de Uso se especifica de tipo primario</t>
  </si>
  <si>
    <t>1. La descripción del CU indica Tipo: "Primario y crítico". 2. RF-04 tiene prioridad Alta/Esencial.</t>
  </si>
  <si>
    <t>1. En la descripción del Caso de Uso se especifica que es de "Tipo: Primario" y el requerimiento RF-05 marca prioridad "Alta/Esencial"</t>
  </si>
  <si>
    <t>1. RF-06 y RF-UI-4: prioridad Alta/Esencial 2. El CU lo clasifica como "Secundario y automático" (ver Consisten)</t>
  </si>
  <si>
    <t>1. Se especifica claramente que es un caso de uso de "Tipo: Primario"</t>
  </si>
  <si>
    <t>1. Agrupa múltiples responsabilidades en un solo CU (usuarios, roles y auditorías), rompiendo la atomicidad.
2. Clasificado como Primario, pero requiere dividirse en CUs específicos (p. ej., Gestionar Usuarios, Gestionar Roles).</t>
  </si>
  <si>
    <t>1. RF de control de stock y cierre de caja: prioridad Alta/Esencial.
2. Clasificado correctamente como Primario al ser la actividad clave del Cajero en cada turno.</t>
  </si>
  <si>
    <t>1. RF-11 y RF-UI-3: prioridad Alta/Esencial 2. El CU lo clasifica como "Secundario" (ver Consisten)</t>
  </si>
  <si>
    <t>1. RF de detección de mermas e inconsistencias: prioridad Alta.
2. Clasificado correctamente como "Secundario y automático" al ser desencadenado de forma autónoma por la aplicación.</t>
  </si>
  <si>
    <t>Unambiguos</t>
  </si>
  <si>
    <t xml:space="preserve">1.  Redacción en lenguaje claro.                                                                               2. El tutor y el equipo interpretan de igual manera el caso de uso </t>
  </si>
  <si>
    <t>NOK</t>
  </si>
  <si>
    <t>1. La redacción puede ser más especifica y clara</t>
  </si>
  <si>
    <t>1. No se define cómo se combinan los conteos físicos y las compras para obtener las existencias, ni de dónde se derivan las "salidas" por producto. 2. No es claro si la consolidación es automática (Alcance 1.2) o la ejecuta el Administrador (actor del CU).</t>
  </si>
  <si>
    <t>1. Redacción clara y directa. El equipo y el cliente entienden claramente que sirve para registrar y administrar el abastecimiento.</t>
  </si>
  <si>
    <t xml:space="preserve">1. "Alcanzado o superado el umbral" (CU) vs "iguales o inferiores al stock mínimo" (RF-UI-4) 2. "Alerta visual y/o notificación": canal y destinatario sin definir
</t>
  </si>
  <si>
    <t>1. La redacción es clara. Se entiende perfectamente que la funcionalidad sirve para visualizar el stock actual utilizando filtros específicos (producto, categoría, fecha)</t>
  </si>
  <si>
    <t>1. "Tipo de reporte" sin catálogo de tipos 2. Formato "(PDF, Excel, etc.)" abierto; RF-SW-2 solo define PDF y Excel 3. "Movimientos históricos" sin definir</t>
  </si>
  <si>
    <t>1. Redacción clara pero abarca un alcance demasiado amplio para una sola especificación.
2. El actor está bien definido (Administrador), pero las entradas no detallan campos obligatorios para perfiles y auditorías.</t>
  </si>
  <si>
    <t>1. Redacción en lenguaje claro y delimitado a las tareas del turno.
2. Actor único definido (Cajero) y entradas enfocadas en cantidades contadas por producto y turno.</t>
  </si>
  <si>
    <t>1. Redacción en lenguaje claro. 2. "Novedad" se precisa en 2.3 (mermas, pérdidas o inconsistencias) y el actor es único (Cajero)</t>
  </si>
  <si>
    <t>1. Redacción clara de la regla de comparación entre conteos consecutivos.
2. Actor correctamente asignado al Sistema y salida orientada a la notificación del Administrador.</t>
  </si>
  <si>
    <t>Valid and up-to date</t>
  </si>
  <si>
    <t>1. Toda nueva información ha sido incorporada, se han incorporado los últimos cambios pedidos luego del feedback realizado por el cliente</t>
  </si>
  <si>
    <t xml:space="preserve">1. Toda la información ha sido incorporada con el último feedback </t>
  </si>
  <si>
    <t>1. La funcionalidad es válida, vigente y necesaria para la consolidación del inventario del sistema.</t>
  </si>
  <si>
    <t>1. Representa una necesidad vigente y fundamental del negocio para reemplazar la consulta de registros manuales y en papel.</t>
  </si>
  <si>
    <t>1. Coincide con Alcance (1.2), Perspectiva (2.1) y RF-SW-2 2. Sin notas de cambio pendientes en el CU</t>
  </si>
  <si>
    <t>1. Toda nueva información ha sido incorporada, se han ajustado las funciones administrativas solicitadas por el cliente en el último feedback.</t>
  </si>
  <si>
    <t>1. Se han incorporado las modificaciones solicitadas respecto a los tres momentos de conteo (inicio, cambio y cierre de turno).</t>
  </si>
  <si>
    <t>1. Se incorporó la regla de notificación automática al Administrador tras las observaciones del cliente.</t>
  </si>
  <si>
    <t>Correct</t>
  </si>
  <si>
    <t>1. Está alineado con los objetivos del sistema.                                                                                                                                                                                                                        2. Refleja lo que realmente necesita el cliente.</t>
  </si>
  <si>
    <t>1. Está alineado con el objetivo del SIMP: inventario confiable, actualizado y trazable. 2. Refleja la necesidad del cliente de reemplazar los conteos y registros manuales.</t>
  </si>
  <si>
    <t>1. Está totalmente alineado con el objetivo central del SIMP de controlar el abastecimiento de materia prima en los locales.</t>
  </si>
  <si>
    <t xml:space="preserve">1. Alineado con el objetivo del SIMP: apoyar las decisiones de abastecimiento (Introducción) 2. Refleja la necesidad de evitar faltantes de materia prima
</t>
  </si>
  <si>
    <t>1. Cumple correctamente con el objetivo principal del sistema SIMP, que es dar visibilidad al estado actual de la materia prima.</t>
  </si>
  <si>
    <t xml:space="preserve">1. Alineado con el objetivo de control y respaldo administrativo (Propósito del CU) 2. Refleja la necesidad de consolidar información de las tres sucursales
</t>
  </si>
  <si>
    <t>1. Alineado con el objetivo de control de acceso y trazabilidad del sistema.
2. Refleja la necesidad del negocio de gestionar el personal autorizado.</t>
  </si>
  <si>
    <t>1. Alineado con el objetivo de control de stock físico vs. lógico y reducción de pérdidas.
2. Refleja la necesidad operativa diaria en el punto de venta.</t>
  </si>
  <si>
    <t>1. Alineado con el objetivo de trazabilidad y reducción de errores manuales (Introducción) 2. Refleja la necesidad de registrar mermas, pérdidas e inconsistencias (2.3)</t>
  </si>
  <si>
    <t>1. Alineado con el objetivo de trazabilidad, auditoría automática y detección temprana de mermas o pérdidas en inventario.</t>
  </si>
  <si>
    <t>Consisten</t>
  </si>
  <si>
    <t xml:space="preserve">1. Documentación basada en modelos: Diagrama de Casos de Uso
2. Usa términos definidos previamente.                                             </t>
  </si>
  <si>
    <t xml:space="preserve">1. Documentación basada en modelos: Diagrama de Casos de Uso 2. Usa términos definidos previamente.    </t>
  </si>
  <si>
    <t xml:space="preserve">
1. Documentación basada en modelos: Diagrama de Casos de Uso. Usa términos definidos (Stock, Inventario). 2. En el diagrama, &lt;&lt;include&gt;&gt; entre "Gestionar compras" y "Actualizar existencias" tiene el sentido invertido. 3. El diagrama no relaciona el registro de conteos físicos con la consolidación, aunque la descripción los integra.</t>
  </si>
  <si>
    <t>1. Documentación basada en el Diagrama de Casos de Uso. Utiliza términos coherentes con el resto del documento (proveedor, administrador, inventario).</t>
  </si>
  <si>
    <t xml:space="preserve">1. Tipo "Secundario y automático" vs RF-06 Alta/Esencial 2. El diagrama dice "Actualizar existencias del sistema" y el CU "Consolidar inventario del sistema"
</t>
  </si>
  <si>
    <t>1. Es coherente con el resto del sistema, compartiendo los mismos actores definidos previamente (Administrador, Cajero).</t>
  </si>
  <si>
    <t>1. Documentación basada en modelos: Diagrama de Casos de Uso (Administrador - Generar reportes) 2. Usa términos del glosario y coincide con RF-SW-2 en PDF y Excel</t>
  </si>
  <si>
    <t>1. Clasificado como CU único Primario frente a requerimientos que exigen separación por niveles de seguridad y permisos distintos.</t>
  </si>
  <si>
    <t>1. Clasificación Primaria coherente con los requisitos funcionales de la gestión de inventarios.</t>
  </si>
  <si>
    <t>1. Tipo "Secundario" vs RF-11 Alta/Esencial 2. RF-10 (estado físico) cita como fuente el CU "Registrar novedades de inventario"</t>
  </si>
  <si>
    <t>1. Clasificación adecuada como subfunción/proceso automático gatillado por la ejecución del conteo físico.</t>
  </si>
  <si>
    <t>Verificable</t>
  </si>
  <si>
    <t>1. Requisito Medible                                                           2.  Falta Casos de Prueba</t>
  </si>
  <si>
    <t xml:space="preserve">1.No ha sido desarrollado                                                                                </t>
  </si>
  <si>
    <t>1. Requisito Medible                                                           2.  Falta Casos de Prueba
3. No ha sido desarrollado</t>
  </si>
  <si>
    <t>1. Las salidas se describen de forma cualitativa ("existencias actualizadas"), sin criterios de aceptación medibles. 2. Faltan casos de prueba; NF-04 (&lt; 5 s) cubre consultas y reportes, no la consolidación.</t>
  </si>
  <si>
    <t>1. Requisito no medible actualmente. Faltan Criterios de Aceptación y Casos de Prueba</t>
  </si>
  <si>
    <t>1. Faltan Casos de Prueba. Por ejemplo, no se define cómo se debe comportar el sistema si la consulta con filtros no arroja resultados o si falla la base de datos.</t>
  </si>
  <si>
    <t>1. Parcialmente medible: NF-04 (&lt; 5 s) y RF-SW-2 (PDF/Excel con encabezados y fechas) 2. Faltan casos de prueba por tipo de reporte</t>
  </si>
  <si>
    <t>1. Sin criterios de aceptación medibles (no especifica reglas de contraseña, roles por defecto o persistencia de logs de auditoría).
2. Faltan casos de prueba.</t>
  </si>
  <si>
    <t>1. Sin criterios de aceptación medibles (falta validar que las cantidades contadas sean valores no negativos o enteros).
2. Faltan casos de prueba.</t>
  </si>
  <si>
    <t>1. Sin criterios de aceptación medibles (campos obligatorios, formato y tamaño de la evidencia) 2. Faltan casos de prueba</t>
  </si>
  <si>
    <t>1. Sin criterios de aceptación medibles (falta definir el umbral o margen de tolerancia para considerar una diferencia como "novedad").
2. Faltan casos de prueba automatizados.</t>
  </si>
  <si>
    <t>Realizable</t>
  </si>
  <si>
    <t>1. Funcionalidad tomada en cuenta dentro de la estimación del costo del proyecto 
2. No se ha desarrollado</t>
  </si>
  <si>
    <t>1. No ha sido desarrollado</t>
  </si>
  <si>
    <t>Traceable</t>
  </si>
  <si>
    <t>1. No se tiene una matriz de trazabilidad</t>
  </si>
  <si>
    <t>1. no se cuenta con una matriz de trazabilidad que cruce formalmente el caso de uso con las reglas de negocio y los futuros casos de prueba</t>
  </si>
  <si>
    <t>1. No se cuenta con una matriz de trazabilidad mapeada hacia los módulos de autenticación y auditoría</t>
  </si>
  <si>
    <t>1. No se tiene una matriz de trazabilidad vinculada a las pantallas de arqueo e inventario.</t>
  </si>
  <si>
    <t>1. No se tiene matriz de trazabilidad entre este CU automático y el registro del Cajero (CU001.10).</t>
  </si>
  <si>
    <t>Complete</t>
  </si>
  <si>
    <t>1. Contiene toda la información necesaria (entradas, salidas, precondiciones, postcondiciones) para entender y diseñar la función. 
2. Describe completamente la funcionalidad esperada.</t>
  </si>
  <si>
    <t xml:space="preserve">1. Se describe lo que se acordo </t>
  </si>
  <si>
    <t>1. Contiene toda la información necesaria para entender y diseñar la función. 
2. Describe completamente la funcionalidad esperada.</t>
  </si>
  <si>
    <t>1. Contiene toda la información necesaria (entradas, salidas, precondiciones, postcondiciones) para entender y diseñar la función.                                2. Describe completamente la funcionalidad esperada.</t>
  </si>
  <si>
    <t>1. Describe entradas y salidas, pero faltan precondiciones  y postcondiciones en la ficha del caso de uso.</t>
  </si>
  <si>
    <t xml:space="preserve">1. Tiene entradas y salidas, pero faltan precondiciones, postcondiciones y flujo 2. No define destinatario ni canal de la notificación; RF-06 solo enlaza al CU
</t>
  </si>
  <si>
    <t>1. Describe correctamente entradas (filtros) y salidas (visualización), pero carece de precondiciones (ej. el usuario debe estar logueado)</t>
  </si>
  <si>
    <t xml:space="preserve">1. Tiene entradas y salidas, pero faltan precondiciones y postcondiciones 2. No lista los tipos de reporte ni su contenido; RF-08 solo enlaza al CU
</t>
  </si>
  <si>
    <t>1. Posee entradas y salidas generales, pero carece de precondiciones (p. ej., sesión activa como Administrador) y postcondiciones.
2. No especifica la estructura del registro de auditoría.</t>
  </si>
  <si>
    <t>1. Tiene entradas (cantidades por producto/turno) y salidas (registro almacenado), pero faltan precondiciones (p. ej., turno abierto) y postcondiciones.
2. Faltan flujos alternativos para conteos incompletos.</t>
  </si>
  <si>
    <t>1. Tiene entradas y salidas, pero faltan precondiciones y postcondiciones 2. No lista los tipos de novedad ni formato/límite de la evidencia; RF-11 solo enlaza al CU</t>
  </si>
  <si>
    <t>1. Tiene entradas (conteos actuales/anteriores) y salidas (notificación/novedad), pero faltan precondiciones y el canal de notificación (email, alerta en pantalla, etc.).</t>
  </si>
  <si>
    <t>Understandability</t>
  </si>
  <si>
    <t>1. Se involucra al cliente
2. Existe glosario de términos</t>
  </si>
  <si>
    <t>1. Se involucra al cliente</t>
  </si>
  <si>
    <t>1. Se involucra al cliente como fuente de información. 2. Existe glosario (1.4: Stock, Inventario, Trazabilidad); falta el término "Consolidación".</t>
  </si>
  <si>
    <t>1. Lenguaje sencillo y digerible para personal no técnico. Se apoya en el glosario de términos.</t>
  </si>
  <si>
    <t xml:space="preserve">1. Se involucra al cliente (1.3) 2. El glosario (1.4) define Stock (existencias); el stock mínimo se explica en Gestionar productos
</t>
  </si>
  <si>
    <t>1. Se involucra al Administrador en el alcance.
2. El glosario no define términos como "rol", "perfil" o "auditoría".</t>
  </si>
  <si>
    <t>1. Se involucra al Cajero en las pruebas de flujo.
2. El glosario no define términos técnicos como "conteo físico" ni "cambio de turno".</t>
  </si>
  <si>
    <t>1. Se involucra al cliente (1.3) 2. El glosario (1.4) no define "novedad" ni "conteo físico"</t>
  </si>
  <si>
    <t>1. Se contempla la alerta hacia el Administrador.
2. El glosario no define el término "novedad de conteo" ni "inconsistencia consecutiva".</t>
  </si>
  <si>
    <t xml:space="preserve">Sistema de Inventario de Materia Prima (SIMP)	</t>
  </si>
  <si>
    <t>FECHA:</t>
  </si>
  <si>
    <t>AUTOR:</t>
  </si>
  <si>
    <t>Guayanay Lema Erika Vannesa</t>
  </si>
  <si>
    <t>REQUERIMIENTOS EVALUADOS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</si>
  <si>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</si>
  <si>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</si>
  <si>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</si>
  <si>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</si>
  <si>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</si>
  <si>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</si>
  <si>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</si>
  <si>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</si>
  <si>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</si>
  <si>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</si>
  <si>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</si>
  <si>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</si>
  <si>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</si>
  <si>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</si>
  <si>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</si>
  <si>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</si>
  <si>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</si>
  <si>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</si>
  <si>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</si>
  <si>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</si>
  <si>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</si>
  <si>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</si>
  <si>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</si>
  <si>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</si>
  <si>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</si>
  <si>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</si>
  <si>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</si>
  <si>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</si>
  <si>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</si>
  <si>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Isaac</t>
  </si>
  <si>
    <t>CU001.2  GESTIONAR UNIDADES DE MEDIDA</t>
  </si>
  <si>
    <t>Sistema de Inventario de Materia Prima (SIMP)</t>
  </si>
  <si>
    <t>Báez Jaramillo, Gabriel Alejandro</t>
  </si>
  <si>
    <t>CU4 Consolidar Inventario del sistema</t>
  </si>
  <si>
    <t>CU6 Alertar de Cantidad de Existencias Baja</t>
  </si>
  <si>
    <t>CU8 Generar Reportes de Inventario</t>
  </si>
  <si>
    <t>CU11 Registrar Novedades de Inventario</t>
  </si>
  <si>
    <t>CU001.7 Consultar Existencias</t>
  </si>
  <si>
    <t>CU001.9 — Administrar sistema</t>
  </si>
  <si>
    <t>CU001.12 — Registrar automáticamente novedades de conteo</t>
  </si>
  <si>
    <t>CU001.10 — Registrar estado físico del inventario</t>
  </si>
  <si>
    <t>PREGUNTA</t>
  </si>
  <si>
    <t>RECOMENDACIÓN</t>
  </si>
  <si>
    <t>¿Se han definido criterios de aceptación y casos de prueba que permitan verificar el cumplimiento del requisito?</t>
  </si>
  <si>
    <t>Diseñar y documentar casos de prueba específicos (ej. registro exitoso, error por producto duplicado) para que la funcionalidad pueda ser medida y validada antes de su aprobación.</t>
  </si>
  <si>
    <t>¿Cuál es el plan de acción para que el requisito pase de estar estimado a estar construido?</t>
  </si>
  <si>
    <t>Iniciar la fase de desarrollo (programación) según el cronograma y presupuesto  del proyecto, para validar técnicamente el caso de uso en el sistema.</t>
  </si>
  <si>
    <t>¿Existe algún documento que permita vincular este requerimiento con sus orígenes y casos de prueba?</t>
  </si>
  <si>
    <t>Construir una Matriz de Trazabilidad global para el proyecto que enlace cada Caso de Uso con su código identificador, requerimiento del negocio y pruebas correspondientes.</t>
  </si>
  <si>
    <t>¿El catálogo de unidades de medida guarda coherencia con los módulos de productos, compras e inventario?</t>
  </si>
  <si>
    <t>Unificar los términos y asegurar que las unidades de medida creadas se integren correctamente en los formularios de registro de productos y compras. Incluir en el glosario definiciones claras para "unidad de medida", "abreviatura" y "estado" (activo/inactivo).</t>
  </si>
  <si>
    <t>¿La descripción especifica sin ambigüedades la regla de eliminación y el uso de estados (activo/inactivo) para las unidades de medida?</t>
  </si>
  <si>
    <t>Clarificar si la eliminación es lógica (cambio de estado a inactivo) o física. Se recomienda aplicar inactivación para evitar romper la integridad referencial de los productos o compras históricas que ya tengan asignada dicha unidad.</t>
  </si>
  <si>
    <t>¿Se han definido criterios de aceptación para controlar la duplicidad de nombres o abreviaturas y validar los campos requeridos?</t>
  </si>
  <si>
    <t>Elaborar criterios de aceptación en formato Given-When-Then (ej.: Dado un Administrador en el catálogo de unidades de medida, cuando intenta registrar una unidad con un nombre o abreviatura ya existente, el sistema bloquea el guardado y muestra un mensaje de error). Incluir casos de prueba para campos obligatorios y valores repetidos.</t>
  </si>
  <si>
    <t>¿Se ha acotado la gestión del catálogo dentro del presupuesto y alcance previsto para el prototipo funcional?</t>
  </si>
  <si>
    <t>Delimitar las operaciones CRUD (Crear, Leer, Modificar, Inactivar) básicas dentro de la entrega inicial, difiriendo configuraciones complejas como factores de conversión entre unidades de medida si sobrepasan la estimación de esfuerzo.</t>
  </si>
  <si>
    <t>¿Existe trazabilidad entre la gestión de unidades de medida y las entidades de datos de productos, compras y casos de prueba?</t>
  </si>
  <si>
    <t>Mapear en la matriz de trazabilidad la relación entre este caso de uso, los requerimientos funcionales de catálogo, el modelo de datos (tabla de unidades de medida) y las pantallas del módulo de productos y compras.</t>
  </si>
  <si>
    <t>Elaborar y documentar casos de prueba específicos enfocados en la creación, modificación y eliminación de categorías para garantizar que la funcionalidad sea medible.</t>
  </si>
  <si>
    <t>Iniciar el desarrollo y programación del módulo de categorías según el cronograma del proyecto, para que la funcionalidad pueda ser validada en el sistema.</t>
  </si>
  <si>
    <t>Integrar este requerimiento dentro de la Matriz de Trazabilidad del proyecto, vinculando el caso de uso con las necesidades del negocio y sus futuras pruebas.</t>
  </si>
  <si>
    <t>¿Se han validado y aprobado formalmente con el cliente y la docente las reglas del CU "Consolidar inventario del sistema"?</t>
  </si>
  <si>
    <t>Registrar en una minuta o acta la aceptación del cliente tras cada sesión de elicitación, adjuntarla al repositorio del proyecto y completar los campos de "Aprobación" del SRS (sección 1.3).</t>
  </si>
  <si>
    <t>¿Está definido sin ambigüedad cómo se calculan las existencias consolidadas y quién dispara la consolidación?</t>
  </si>
  <si>
    <t>Documentar, acordada con el cliente, la regla de cálculo (cómo se combinan conteo físico y compras y de dónde se derivan las salidas por producto) y aclarar si la consolidación es automática o iniciada por el Administrador, usando un único criterio en Alcance, CU y RF-04.</t>
  </si>
  <si>
    <t>¿Se han incorporado los cambios sugeridos en la revisión del SRS?</t>
  </si>
  <si>
    <t>Resolver las notas pendientes de la sección 1.1, unificar el nombre del proyecto (SIMP / BACAM_IMP) y alinear el nombre del CU entre diagrama y descripción, apoyándose en un registro de cambios por revisión.</t>
  </si>
  <si>
    <t>¿Son coherentes entre sí el diagrama de casos de uso y la descripción del CU?</t>
  </si>
  <si>
    <t>Corregir el sentido de &lt;&lt;include&gt;&gt; (desde el caso base hacia el incluido), relacionar en el diagrama el registro de conteos físicos con la consolidación y representar al actor Sistema donde la descripción lo declara.</t>
  </si>
  <si>
    <t xml:space="preserve">
¿Se han definido criterios de aceptación y casos de prueba que permitan medir objetivamente el cumplimiento del requisito?</t>
  </si>
  <si>
    <t>Elaborar criterios de aceptación en formato Given-When-Then (p. ej.: dado un conteo físico y compras registradas de un producto, cuando el Administrador consolida, entonces las existencias y el detalle de entradas y salidas se actualizan), cada uno cubierto por al menos un caso de prueba; confirmar con el cliente si se requiere un tiempo máximo de respuesta.</t>
  </si>
  <si>
    <t>¿Contiene el CU toda la información necesaria (precondiciones, postcondiciones, flujos) para entender y diseñar la función?</t>
  </si>
  <si>
    <t>Agregar precondiciones (usuario autenticado, conteos y compras registrados), postcondiciones, flujo principal y alternos; completar la descripción de RF-04, añadir un RF-UI para la pantalla de consolidación, incluir "Consolidación" en el glosario y asignar un ID explícito al CU.</t>
  </si>
  <si>
    <t>Diseñar casos de prueba enfocados en los filtros de búsqueda (ej. búsqueda sin resultados, filtros por fecha o categoría) para asegurar que la visualización del stock sea medible.</t>
  </si>
  <si>
    <t>Iniciar el desarrollo de la interfaz de consultas de acuerdo con el cronograma del proyecto para validar su funcionamiento técnico real.</t>
  </si>
  <si>
    <t>¿Existe algún documento que permita vincular este requerimiento con sus orígenes y pruebas?</t>
  </si>
  <si>
    <t>Incluir este requerimiento en la Matriz de Trazabilidad del proyecto, conectando la necesidad de consulta con sus respectivos casos de prueba.</t>
  </si>
  <si>
    <t>¿La especificación del caso de uso detalla completamente los estados iniciales y finales del sistema?</t>
  </si>
  <si>
    <t>Actualizar la documentación del caso de uso agregando explícitamente las precondiciones (ej. el usuario debe estar autenticado) y las postcondiciones (ej. el sistema muestra la tabla actualizada).</t>
  </si>
  <si>
    <t>¿Se mantiene la coherencia con otros requisitos del sistema y utiliza término o definiciones de forma uniforme a lo largo del documento?</t>
  </si>
  <si>
    <t>Alinear la clasificación del CU con sus requisitos: RF-06 tiene prioridad Alta/Esencia, por lo que se debe revisar el tipo "Secundario y automático" o justificar la diferencia en el SRS. Además, unificar el nombre del CU entre el diagrama ("Actualizar existencias del sistema") y la descripción, apoyándose en un registro de cambios.</t>
  </si>
  <si>
    <t>¿Está redactado el caso de uso sin ambiguedades, de modo que el tutor, el cliente y el equipo lo interpretan de la misma manera?</t>
  </si>
  <si>
    <t>Unificar el criterio de disparo de la alerta en el CU, RF-06 Y RF-UI-4 y reemplazr "alerta visual y/o notificación" por una definición concreta del canal</t>
  </si>
  <si>
    <t>¿Se han definido criterios de aceptación y casos de prueba que permitan medir objetivamente el cumplimiento del requisito?</t>
  </si>
  <si>
    <t>Elaborar criterios de aceptación en formato Given-When-Then (p. ej.: dado un producto con stock mínimo definido, cuando sus existencias llegan o bajan de ese valor, entonces el sistema genera la alerta al destinatario definido), cubiertos por casos de prueba para los valores límite (igual al mínimo, un punto por encima y en cero) y con un tiempo máximo de generación de la alerta.</t>
  </si>
  <si>
    <t>¿Se ha desarrollado la funcionalidad dentro de un plazo y presupuesto acotados que permitan comprobar que el requisito es realizable?</t>
  </si>
  <si>
    <t>Planificar el desarrollo del módulo de alertas dentro del alcance del prototipo funcional, con una estimación de esfuerzo y presupuesto incluida en el costo total del proyecto, y acordar con el cliente un hito de entrega que permita verificar la funcionalidad.</t>
  </si>
  <si>
    <t>¿Existe una matriz de trazabilidad que relacione el requisito con su origen, con los demás casos de uso y con los entregables posteriores?</t>
  </si>
  <si>
    <t xml:space="preserve">Elaborar una matriz de trazabilidad que vincule el origen (entrevista con el cliente) con CU001.6, RF-06, RF-UI-4 y los casos de prueba correspondientes, asignando un identificador único a cada elemento.
</t>
  </si>
  <si>
    <t>Agregar precondiciones (usuario autenticado, stock mínimo configurado para el producto), postcondiciones (alerta generada y registrada), flujo principal y alternos; definir el canal y el destinatario de la notificación y completar la descripción de RF-06, que actualmente solo enlaza al CU.</t>
  </si>
  <si>
    <t>Diseñar casos de prueba específicos para los filtros de búsqueda (ej. búsqueda por fecha, categoría o sin resultados) para garantizar que la consulta de stock sea verificable objetivamente.</t>
  </si>
  <si>
    <t>Iniciar la programación y desarrollo de la interfaz de consulta de acuerdo con el cronograma y presupuesto del proyecto, para poder validar su funcionamiento real.</t>
  </si>
  <si>
    <t>Incorporar este caso de uso en la Matriz de Trazabilidad global del proyecto, enlazando la necesidad del negocio con sus respectivas pruebas.</t>
  </si>
  <si>
    <t>Actualizar la ficha descriptiva del caso de uso para incluir explícitamente las precondiciones (ej. usuario autenticado) y las postcondiciones (ej. el sistema despliega la información actualizada).</t>
  </si>
  <si>
    <t>¿Está redactado el caso de uso sin ambigüedades, de modo que el tutor, el cliente y el equipo lo interpreten de la misma manera?</t>
  </si>
  <si>
    <t>Definir un catálogo cerrado de tipos de reporte y el significado de "movimientos históricos", y precisar los formatos de salida como PDF y Excel (según RF-SW-2), eliminando la expresión abierta "(PDF, Excel, etc.)", para que el tutor, el cliente y el equipo lo interpreten igual.</t>
  </si>
  <si>
    <t xml:space="preserve">¿Se han definido criterios de aceptación y casos de prueba que permitan medir objetivamente el cumplimiento del requisito?
</t>
  </si>
  <si>
    <t>Elaborar criterios de aceptación en formato Given-When-Then por cada tipo de reporte (p. ej.: dado un rango de fechas con movimientos registrados, cuando el Administrador genera el reporte, entonces se obtiene en PDF o Excel con encabezados y fechas dentro del tiempo definido en NF-04), cada uno cubierto por al menos un caso de prueba.</t>
  </si>
  <si>
    <t>Planificar el desarrollo del módulo de reportes dentro del alcance del prototipo funcional, priorizando los tipos de reporte acordados, con una estimación de esfuerzo y presupuesto incluida en el costo total del proyecto y un hito de entrega verificable con el cliente.</t>
  </si>
  <si>
    <t>Elaborar una matriz de trazabilidad que vincule el origen (entrevista con el cliente) con CU001.8, RF-08, RF-SW-2, NF-04 y los casos de prueba por tipo de reporte, asignando un identificador único a cada elemento.</t>
  </si>
  <si>
    <t>Agregar precondiciones (usuario autenticado como Administrador, movimientos registrados en el inventario) y postcondiciones (reporte generado y disponible en el formato elegido); listar los tipos de reporte con su contenido y completar la descripción de RF-08, que solo enlaza al CU.</t>
  </si>
  <si>
    <t>¿Mantiene la gestión de acceso la coherencia con la arquitectura de seguridad y los niveles de permisos del sistema?</t>
  </si>
  <si>
    <t>Alinear la estructura del CU dividiendo responsabilidades. Como abarca usuarios, roles y auditorías, se debe separar en sub-casos de uso (p. ej., CU001.9a Gestionar usuarios, CU001.9b Asignar roles y permisos y CU001.9c Consultar bitácora de auditoría) y unificar los términos "perfil" y "rol" en el glosario.</t>
  </si>
  <si>
    <t>¿La descripción especifica sin ambigüedades qué operaciones de control de usuarios y auditoría están permitidas al Administrador?</t>
  </si>
  <si>
    <t>Precisar la extensión de los permisos: definir si "gestionar" contempla eliminación lógica o física de usuarios, si se permite la creación de nuevos roles personalizados y qué eventos específicos del sistema deben quedar registrados en el historial de auditoría.</t>
  </si>
  <si>
    <t>¿Existen criterios de aceptación y casos de prueba para validar la asignación de roles, políticas de credenciales y registros de auditoría?</t>
  </si>
  <si>
    <t>Elaborar criterios de aceptación en formato Given-When-Then (ej.: Dado un Administrador en el módulo de usuarios, cuando inactiva una cuenta, el sistema revoca el acceso de inmediato y registra la fecha, hora y usuario ejecutor en la auditoría), probando casos límite como intentos de auto-eliminación o asignación de permisos inexistentes.</t>
  </si>
  <si>
    <t>¿Se ha acotado el desarrollo del módulo de administración de usuarios y auditorías dentro del presupuesto y tiempo de la versión inicial?</t>
  </si>
  <si>
    <t>Priorizar las funciones esenciales de autenticación y asignación de roles predefinidos para la primera entrega del prototipo funcional, difiriendo la creación de roles dinámicos o auditorías avanzadas si sobrepasan la estimación de costos.</t>
  </si>
  <si>
    <t>¿El proceso de conteo físico guarda coherencia con el flujo de caja y la terminología operativa del Cajero?</t>
  </si>
  <si>
    <t>Unificar en todo el SRS la terminología utilizada para el inventario. Definir explícitamente en el glosario los términos "conteo inicial", "cambio de turno", "cierre de turno" y "stock físico vs. stock lógico", asegurando que coincidan con la prioridad asignada en los requisitos funcionales de caja.</t>
  </si>
  <si>
    <t>¿Está definido claramente si el conteo por producto se realiza mediante captura manual, escaneo de código o ingreso masivo por lote?</t>
  </si>
  <si>
    <t>Detallar en la descripción el método de entrada de datos: especificar si el Cajero ingresa cantidad producto por producto, si se utiliza lector de código de barras, y si el sistema permite guardar borradores temporales del conteo antes de hacer la entrega definitiva del turno.</t>
  </si>
  <si>
    <t>¿Es factible implementar los tres momentos de conteo (inicio, cambio y cierre de turno) dentro del alcance previsto para la interfaz de caja?</t>
  </si>
  <si>
    <t>Validar que la interfaz de conteo rápido esté dentro de la estimación del prototipo funcional, asegurando que el proceso no interrumpa el flujo operativo del Cajero durante el cambio de turno.</t>
  </si>
  <si>
    <t>¿Existe trazabilidad entre el conteo ejecutado por el Cajero, las tablas de inventario físico y la activación de inconsistencias en CU001.12?</t>
  </si>
  <si>
    <t>Vincular en la matriz de trazabilidad el requerimiento del negocio con CU001.10, la interfaz de usuario de arqueo de inventario, la tabla de existencias y su relación directa como disparador de CU001.12.</t>
  </si>
  <si>
    <t>¿Específica el CU las precondiciones del estado del turno y las postcondiciones de cierre e inmutabilidad del registro?</t>
  </si>
  <si>
    <t>Definir las precondiciones (Cajero autenticado con turno abierto asignado), postcondiciones (registro de conteo congelado en base de datos sin opción de alteración posterior) y flujos alternos (cancelación de turno o lectura fallida de productos sin código).</t>
  </si>
  <si>
    <t>¿Se mantiene la coherencia con otros requisitos del sistema y utiliza términos o definiciones de forma uniforme a lo largo del documento?</t>
  </si>
  <si>
    <t>Alinear el tipo del CU ("Secundario") con la prioridad Alta/Esencial de RF-11, o justificar la diferencia en el SRS, y corregir la fuente de RF-10 (estado físico), que cita el CU "Registrar novedades de inventario", para que cada requisito apunte a su caso de uso correcto.</t>
  </si>
  <si>
    <t>Elaborar criterios de aceptación en formato Given-When-Then que definan los campos obligatorios y el formato y tamaño máximo de la evidencia (p. ej.: dado un Cajero con una novedad y una evidencia válida, cuando la guarda, entonces la novedad queda registrada con su evidencia; si falta un campo obligatorio, el sistema la rechaza), cada uno cubierto por al menos un caso de prueba.</t>
  </si>
  <si>
    <t>Planificar el desarrollo del registro de novedades dentro del alcance del prototipo funcional, con una estimación de esfuerzo y presupuesto incluida en el costo total del proyecto y un hito de entrega verificable con el cliente.</t>
  </si>
  <si>
    <t>Elaborar una matriz de trazabilidad que vincule el origen (entrevista con el cliente) con CU001.11, RF-11, RF-UI-3 y los casos de prueba, asignando un identificador único a cada elemento.</t>
  </si>
  <si>
    <t>Agregar precondiciones (usuario autenticado como Cajero) y postcondiciones (novedad registrada con su evidencia); listar los tipos de novedad (mermas, pérdidas e inconsistencias) y el formato y límite de la evidencia, y completar la descripción de RF-11, que solo enlaza al CU.</t>
  </si>
  <si>
    <t>¿Los términos usados en el CU están definidos en el glosario y son comprensibles para el cliente y el equipo?</t>
  </si>
  <si>
    <t>Incluir en el glosario (sección 1.4) los términos "novedad" y "conteo físico" con su definición acordada con el cliente, y usarlos de forma uniforme en el CU y en los requisitos relacionados.</t>
  </si>
  <si>
    <t>¿La regla de detección automática de inconsistencias guarda coherencia con los parámetros de merma del sistema?</t>
  </si>
  <si>
    <t>Definir en el SRS el margen o porcentaje de tolerancia antes de clasificar un desfase como "novedad de conteo", e incluir en el glosario las diferencias conceptuales entre "inconsistencia", "merma justificada" y "faltante de inventario".</t>
  </si>
  <si>
    <t>¿Se ha especificado de forma inequívoca el canal de notificación y el contenido de la alerta enviada al Administrador?</t>
  </si>
  <si>
    <t>Eliminar la ambigüedad reemplazando "notificación al administrador" por la especificación del canal concreto (ej.: "alerta sonora/visual en la consola del Administrador y envío de correo electrónico automático con el reporte de inconsistencias en PDF").</t>
  </si>
  <si>
    <t>¿Se cuenta con criterios de aceptación que midan el tiempo de respuesta del sistema y la precisión al comparar conteos consecutivos?</t>
  </si>
  <si>
    <t>Elaborar criterios en formato Given-When-Then (ej.: Dado un conteo guardado en CU001.10 que difiera del registro anterior, el sistema debe calcular la diferencia, guardar la novedad y notificar al Administrador en un tiempo máximo de 3 segundos), probando casos límite (diferencias de ±1 unidad y cero diferencias).</t>
  </si>
  <si>
    <t>¿El desarrollo del servicio automatizado de detección y alertas está acotado al tiempo y recursos asignados al backend?</t>
  </si>
  <si>
    <t>Delimitar la lógica de comparación en el servidor para el prototipo funcional, evitando desarrollos complejos de integración de mensajería externa si superan el presupuesto del proyecto.</t>
  </si>
  <si>
    <t>¿Existe trazabilidad entre el evento disparador en el conteo del Cajero, la regla de cálculo automática y la vista de novedades del Administrador?</t>
  </si>
  <si>
    <t>Mapear en la matriz de trazabilidad el origen del requisito automático con CU001.12, los eventos de guardado de CU001.10, la tabla de log de novedades y los casos de prueba automatizados.</t>
  </si>
  <si>
    <t>¿Define el CU las precondiciones de existencia de datos históricos y el comportamiento ante fallos de notificación?</t>
  </si>
  <si>
    <t>Incluir precondiciones (existencia de un conteo previo de comparación y registro actual generado), postcondiciones (novedad almacenada en la base de datos independientemente de si la alerta por correo fue entregada o no) y flujos alternos cuando sea el primer conteo del producto en 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</si>
</sst>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b/>
      <sz val="16"/>
      <color rgb="FF000000"/>
      <name val="Calibri"/>
    </font>
    <font>
      <b/>
      <sz val="12"/>
      <color rgb="FF000000"/>
      <name val="Arial"/>
    </font>
    <font>
      <sz val="11"/>
      <color rgb="FF000000"/>
      <name val="WordVisi_MSFontService"/>
      <charset val="1"/>
    </font>
    <font>
      <sz val="18"/>
      <color rgb="FFFA7D00"/>
      <name val="Calibri"/>
    </font>
    <font>
      <sz val="16"/>
      <color theme="1"/>
      <name val="Calibri"/>
    </font>
    <font>
      <sz val="11"/>
      <color rgb="FF242424"/>
      <name val="Aptos Narrow"/>
      <charset val="1"/>
    </font>
    <font>
      <sz val="11"/>
      <color rgb="FF000000"/>
      <name val="Calibri"/>
    </font>
  </fonts>
  <fills count="10">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
      <patternFill patternType="solid">
        <fgColor rgb="FF4F81BD"/>
        <bgColor rgb="FF4F81BD"/>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s>
  <cellStyleXfs count="1">
    <xf numFmtId="0" fontId="0" fillId="0" borderId="0"/>
  </cellStyleXfs>
  <cellXfs count="107">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9" fillId="3" borderId="5"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1" fillId="3" borderId="6" xfId="0" applyFont="1" applyFill="1" applyBorder="1" applyAlignment="1">
      <alignment horizontal="left" vertical="center" wrapText="1"/>
    </xf>
    <xf numFmtId="0" fontId="12" fillId="0" borderId="0" xfId="0" applyFont="1"/>
    <xf numFmtId="0" fontId="11" fillId="3" borderId="4" xfId="0" applyFont="1" applyFill="1" applyBorder="1" applyAlignment="1">
      <alignment vertical="center" wrapText="1"/>
    </xf>
    <xf numFmtId="0" fontId="11" fillId="3" borderId="4" xfId="0" applyFont="1" applyFill="1" applyBorder="1" applyAlignment="1">
      <alignment horizontal="left" vertical="center" wrapText="1"/>
    </xf>
    <xf numFmtId="0" fontId="10" fillId="5" borderId="4" xfId="0" applyFont="1" applyFill="1" applyBorder="1" applyAlignment="1">
      <alignment horizontal="center"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6" xfId="0" applyFont="1" applyFill="1" applyBorder="1" applyAlignment="1">
      <alignment horizontal="center" vertical="center"/>
    </xf>
    <xf numFmtId="0" fontId="14" fillId="6" borderId="8" xfId="0" applyFont="1" applyFill="1" applyBorder="1" applyAlignment="1">
      <alignment horizontal="center" vertical="center"/>
    </xf>
    <xf numFmtId="0" fontId="14" fillId="6" borderId="9" xfId="0" applyFont="1" applyFill="1" applyBorder="1" applyAlignment="1">
      <alignment horizontal="center" vertical="center"/>
    </xf>
    <xf numFmtId="0" fontId="8" fillId="0" borderId="4" xfId="0" applyFont="1" applyBorder="1" applyAlignment="1">
      <alignment wrapText="1"/>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wrapText="1"/>
    </xf>
    <xf numFmtId="0" fontId="8" fillId="0" borderId="1"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8" fillId="0" borderId="2" xfId="0" applyFont="1" applyBorder="1" applyAlignment="1">
      <alignment horizontal="center" vertical="center"/>
    </xf>
    <xf numFmtId="0" fontId="16" fillId="7" borderId="4" xfId="0" applyFont="1" applyFill="1" applyBorder="1" applyAlignment="1">
      <alignment horizontal="center" vertical="center"/>
    </xf>
    <xf numFmtId="0" fontId="8" fillId="0" borderId="4" xfId="0" applyFont="1" applyBorder="1" applyAlignment="1">
      <alignment horizontal="center" vertical="top" wrapText="1"/>
    </xf>
    <xf numFmtId="0" fontId="8" fillId="0" borderId="4" xfId="0" applyFont="1" applyBorder="1" applyAlignment="1">
      <alignment vertical="top" wrapText="1"/>
    </xf>
    <xf numFmtId="0" fontId="12" fillId="0" borderId="4" xfId="0" applyFont="1" applyBorder="1" applyAlignment="1">
      <alignment vertical="top" wrapText="1"/>
    </xf>
    <xf numFmtId="0" fontId="12" fillId="0" borderId="4" xfId="0" applyFont="1" applyBorder="1" applyAlignment="1">
      <alignment wrapText="1"/>
    </xf>
    <xf numFmtId="0" fontId="12" fillId="0" borderId="4" xfId="0" applyFont="1" applyBorder="1" applyAlignment="1">
      <alignment horizontal="center" vertical="top" wrapText="1"/>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7" fillId="4" borderId="6" xfId="0" applyFont="1" applyFill="1" applyBorder="1" applyAlignment="1">
      <alignment wrapText="1"/>
    </xf>
    <xf numFmtId="0" fontId="17" fillId="5" borderId="6" xfId="0" applyFont="1" applyFill="1" applyBorder="1" applyAlignment="1">
      <alignment wrapText="1"/>
    </xf>
    <xf numFmtId="0" fontId="11" fillId="8" borderId="8" xfId="0" applyFont="1" applyFill="1" applyBorder="1" applyAlignment="1">
      <alignment wrapText="1"/>
    </xf>
    <xf numFmtId="0" fontId="11" fillId="8" borderId="6" xfId="0" applyFont="1" applyFill="1" applyBorder="1" applyAlignment="1">
      <alignment wrapText="1"/>
    </xf>
    <xf numFmtId="0" fontId="17" fillId="5" borderId="6" xfId="0" applyFont="1" applyFill="1" applyBorder="1" applyAlignment="1">
      <alignment horizontal="left" wrapText="1"/>
    </xf>
    <xf numFmtId="0" fontId="0" fillId="0" borderId="4" xfId="0" applyBorder="1" applyAlignment="1">
      <alignment vertical="top" wrapText="1"/>
    </xf>
    <xf numFmtId="0" fontId="0" fillId="0" borderId="4" xfId="0" applyBorder="1" applyAlignment="1">
      <alignment wrapText="1"/>
    </xf>
    <xf numFmtId="0" fontId="8" fillId="0" borderId="1" xfId="0" applyFont="1" applyBorder="1" applyAlignment="1">
      <alignment horizontal="center" vertical="top" wrapText="1"/>
    </xf>
    <xf numFmtId="0" fontId="11" fillId="8" borderId="8" xfId="0" applyFont="1" applyFill="1" applyBorder="1" applyAlignment="1">
      <alignment vertical="center" wrapText="1"/>
    </xf>
    <xf numFmtId="0" fontId="8" fillId="0" borderId="4" xfId="0" applyFont="1" applyBorder="1" applyAlignment="1">
      <alignment horizontal="left" vertical="top" wrapText="1"/>
    </xf>
    <xf numFmtId="0" fontId="19" fillId="0" borderId="0" xfId="0" applyFont="1"/>
    <xf numFmtId="0" fontId="11" fillId="3" borderId="6" xfId="0" applyFont="1" applyFill="1" applyBorder="1" applyAlignment="1">
      <alignment vertical="center" wrapText="1"/>
    </xf>
    <xf numFmtId="0" fontId="14" fillId="6" borderId="4" xfId="0" applyFont="1" applyFill="1" applyBorder="1" applyAlignment="1">
      <alignment horizontal="center" vertical="center"/>
    </xf>
    <xf numFmtId="0" fontId="0" fillId="0" borderId="4" xfId="0" applyBorder="1"/>
    <xf numFmtId="0" fontId="8" fillId="0" borderId="4" xfId="0" applyFont="1" applyBorder="1"/>
    <xf numFmtId="9" fontId="8" fillId="0" borderId="4" xfId="0" applyNumberFormat="1" applyFont="1" applyBorder="1"/>
    <xf numFmtId="0" fontId="13" fillId="0" borderId="4" xfId="0" applyFont="1" applyBorder="1" applyAlignment="1">
      <alignment horizontal="center" vertical="center"/>
    </xf>
    <xf numFmtId="0" fontId="10" fillId="0" borderId="4" xfId="0" applyFont="1" applyBorder="1" applyAlignment="1">
      <alignment horizontal="center" vertical="center"/>
    </xf>
    <xf numFmtId="0" fontId="14" fillId="0" borderId="4" xfId="0" applyFont="1" applyBorder="1" applyAlignment="1">
      <alignment horizontal="center" vertical="center"/>
    </xf>
    <xf numFmtId="0" fontId="21" fillId="0" borderId="4" xfId="0" applyFont="1" applyBorder="1" applyAlignment="1">
      <alignment horizontal="center" vertical="center"/>
    </xf>
    <xf numFmtId="0" fontId="0" fillId="0" borderId="0" xfId="0" applyAlignment="1">
      <alignment wrapText="1"/>
    </xf>
    <xf numFmtId="0" fontId="22" fillId="0" borderId="0" xfId="0" applyFont="1"/>
    <xf numFmtId="0" fontId="12" fillId="0" borderId="14" xfId="0" applyFont="1" applyBorder="1" applyAlignment="1">
      <alignment vertical="top" wrapText="1"/>
    </xf>
    <xf numFmtId="0" fontId="12" fillId="0" borderId="14" xfId="0" applyFont="1" applyBorder="1" applyAlignment="1">
      <alignment wrapText="1"/>
    </xf>
    <xf numFmtId="0" fontId="8" fillId="9" borderId="4" xfId="0" applyFont="1" applyFill="1" applyBorder="1" applyAlignment="1">
      <alignment wrapText="1"/>
    </xf>
    <xf numFmtId="0" fontId="0" fillId="0" borderId="4" xfId="0" applyBorder="1" applyAlignment="1">
      <alignment horizontal="center" vertical="top" wrapText="1"/>
    </xf>
    <xf numFmtId="0" fontId="8" fillId="0" borderId="1" xfId="0" applyFont="1" applyBorder="1" applyAlignment="1">
      <alignment horizontal="left" vertical="top" wrapText="1"/>
    </xf>
    <xf numFmtId="0" fontId="0" fillId="0" borderId="4" xfId="0" applyBorder="1" applyAlignment="1">
      <alignment horizontal="left" vertical="top" wrapText="1"/>
    </xf>
    <xf numFmtId="0" fontId="23" fillId="0" borderId="4" xfId="0" applyFont="1" applyBorder="1" applyAlignment="1">
      <alignment wrapText="1"/>
    </xf>
    <xf numFmtId="0" fontId="8" fillId="0" borderId="2" xfId="0" applyFont="1" applyBorder="1" applyAlignment="1">
      <alignment horizontal="left" vertical="top" wrapText="1"/>
    </xf>
    <xf numFmtId="0" fontId="16" fillId="7" borderId="1" xfId="0" applyFont="1" applyFill="1" applyBorder="1" applyAlignment="1">
      <alignment horizontal="center" vertical="center"/>
    </xf>
    <xf numFmtId="0" fontId="0" fillId="0" borderId="8" xfId="0" applyBorder="1" applyAlignment="1">
      <alignment wrapText="1"/>
    </xf>
    <xf numFmtId="0" fontId="0" fillId="0" borderId="4" xfId="0" applyBorder="1" applyAlignment="1">
      <alignment vertical="center" wrapText="1"/>
    </xf>
    <xf numFmtId="0" fontId="12" fillId="0" borderId="4" xfId="0" applyFont="1" applyBorder="1" applyAlignment="1">
      <alignment vertical="center" wrapText="1"/>
    </xf>
    <xf numFmtId="0" fontId="8" fillId="0" borderId="1" xfId="0" applyFont="1" applyBorder="1" applyAlignment="1">
      <alignment vertical="top" wrapText="1"/>
    </xf>
    <xf numFmtId="0" fontId="16" fillId="7" borderId="4" xfId="0" applyFont="1" applyFill="1" applyBorder="1" applyAlignment="1">
      <alignment horizontal="center" vertical="top"/>
    </xf>
    <xf numFmtId="0" fontId="23" fillId="0" borderId="4" xfId="0" applyFont="1" applyBorder="1" applyAlignment="1">
      <alignment vertical="top" wrapText="1"/>
    </xf>
    <xf numFmtId="0" fontId="0" fillId="0" borderId="0" xfId="0" applyAlignment="1">
      <alignment vertical="top"/>
    </xf>
    <xf numFmtId="0" fontId="13" fillId="0" borderId="0" xfId="0" applyFont="1" applyAlignment="1">
      <alignment horizontal="left" vertical="center"/>
    </xf>
    <xf numFmtId="0" fontId="13" fillId="0" borderId="0" xfId="0" applyFont="1" applyAlignment="1">
      <alignment horizontal="center"/>
    </xf>
    <xf numFmtId="0" fontId="15" fillId="0" borderId="10" xfId="0" applyFont="1" applyBorder="1" applyAlignment="1">
      <alignment horizontal="center" vertical="center"/>
    </xf>
    <xf numFmtId="0" fontId="15" fillId="0" borderId="0" xfId="0" applyFont="1" applyAlignment="1">
      <alignment horizontal="center" vertic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7" fillId="2" borderId="11" xfId="0" applyFont="1" applyFill="1" applyBorder="1" applyAlignment="1">
      <alignment horizontal="center" vertical="center" wrapText="1"/>
    </xf>
    <xf numFmtId="0" fontId="18" fillId="2" borderId="11" xfId="0" applyFont="1" applyFill="1" applyBorder="1" applyAlignment="1">
      <alignment vertical="center" wrapText="1"/>
    </xf>
    <xf numFmtId="0" fontId="18" fillId="2" borderId="8" xfId="0" applyFont="1" applyFill="1" applyBorder="1" applyAlignment="1">
      <alignment vertical="center" wrapText="1"/>
    </xf>
    <xf numFmtId="0" fontId="9" fillId="3" borderId="5"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4" fillId="2" borderId="10" xfId="0" applyFont="1" applyFill="1" applyBorder="1" applyAlignment="1">
      <alignment horizontal="center" vertical="center"/>
    </xf>
    <xf numFmtId="0" fontId="14" fillId="0" borderId="4" xfId="0" applyFont="1" applyBorder="1" applyAlignment="1">
      <alignment horizontal="left" vertical="center"/>
    </xf>
    <xf numFmtId="0" fontId="13" fillId="0" borderId="4" xfId="0" applyFont="1" applyBorder="1" applyAlignment="1">
      <alignment horizontal="left" vertical="center"/>
    </xf>
    <xf numFmtId="0" fontId="15" fillId="0" borderId="4" xfId="0" applyFont="1" applyBorder="1" applyAlignment="1">
      <alignment horizontal="center" vertical="center"/>
    </xf>
    <xf numFmtId="0" fontId="20" fillId="0" borderId="4" xfId="0" applyFont="1" applyBorder="1" applyAlignment="1">
      <alignment horizontal="center" vertical="center"/>
    </xf>
    <xf numFmtId="0" fontId="0" fillId="0" borderId="0" xfId="0" applyAlignment="1"/>
    <xf numFmtId="0" fontId="5" fillId="0" borderId="13" xfId="0" applyFont="1" applyBorder="1" applyAlignment="1"/>
    <xf numFmtId="0" fontId="5" fillId="0" borderId="8" xfId="0" applyFont="1" applyBorder="1" applyAlignment="1"/>
    <xf numFmtId="0" fontId="5" fillId="0" borderId="9" xfId="0" applyFont="1" applyBorder="1" applyAlignment="1"/>
    <xf numFmtId="0" fontId="5" fillId="0" borderId="6" xfId="0" applyFont="1" applyBorder="1" applyAlignment="1"/>
    <xf numFmtId="0" fontId="5" fillId="0" borderId="7" xfId="0" applyFont="1" applyBorder="1" applyAlignment="1"/>
    <xf numFmtId="0" fontId="5" fillId="0" borderId="10" xfId="0" applyFont="1" applyBorder="1" applyAlignment="1"/>
    <xf numFmtId="0" fontId="0" fillId="0" borderId="4" xfId="0" applyBorder="1" applyAlignment="1"/>
    <xf numFmtId="0" fontId="5" fillId="0" borderId="4" xfId="0" applyFont="1" applyBorder="1" applyAlignment="1"/>
  </cellXfs>
  <cellStyles count="1">
    <cellStyle name="Normal" xfId="0" builtinId="0"/>
  </cellStyles>
  <dxfs count="170">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b val="0"/>
      </font>
      <border>
        <left style="thin">
          <color rgb="FF000000"/>
        </left>
        <right/>
        <top style="thin">
          <color rgb="FF000000"/>
        </top>
        <bottom style="thin">
          <color rgb="FF000000"/>
        </bottom>
        <vertical style="thin">
          <color rgb="FF000000"/>
        </vertical>
        <horizontal style="thin">
          <color rgb="FF000000"/>
        </horizontal>
      </border>
    </dxf>
    <dxf>
      <font>
        <b val="0"/>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border>
        <left/>
        <right style="thin">
          <color rgb="FF000000"/>
        </right>
        <top style="thin">
          <color rgb="FF000000"/>
        </top>
        <bottom style="thin">
          <color rgb="FF000000"/>
        </bottom>
        <vertical style="thin">
          <color rgb="FF000000"/>
        </vertical>
        <horizontal style="thin">
          <color rgb="FF000000"/>
        </horizontal>
      </border>
    </dxf>
    <dxf>
      <font>
        <b val="0"/>
      </font>
      <border>
        <left style="thin">
          <color rgb="FF000000"/>
        </left>
        <right style="thin">
          <color rgb="FF000000"/>
        </right>
        <top/>
        <bottom/>
        <vertical style="thin">
          <color rgb="FF000000"/>
        </vertical>
        <horizontal style="thin">
          <color rgb="FF000000"/>
        </horizontal>
      </border>
    </dxf>
    <dxf>
      <font>
        <b val="0"/>
      </font>
    </dxf>
    <dxf>
      <font>
        <b val="0"/>
      </font>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169"/>
      <tableStyleElement type="firstRowStripe" dxfId="168"/>
      <tableStyleElement type="secondRowStripe" dxfId="167"/>
    </tableStyle>
    <tableStyle name="MODELO LISTA DE COMPROBACION - -style 2" pivot="0" count="3" xr9:uid="{00000000-0011-0000-FFFF-FFFF01000000}">
      <tableStyleElement type="headerRow" dxfId="166"/>
      <tableStyleElement type="firstRowStripe" dxfId="165"/>
      <tableStyleElement type="secondRowStripe" dxfId="164"/>
    </tableStyle>
    <tableStyle name="MODELO LISTA DE COMPROBACION - -style 3" pivot="0" count="3" xr9:uid="{00000000-0011-0000-FFFF-FFFF02000000}">
      <tableStyleElement type="headerRow" dxfId="163"/>
      <tableStyleElement type="firstRowStripe" dxfId="162"/>
      <tableStyleElement type="secondRowStripe" dxfId="161"/>
    </tableStyle>
    <tableStyle name="Hoja 1-style" pivot="0" count="3" xr9:uid="{00000000-0011-0000-FFFF-FFFF03000000}">
      <tableStyleElement type="headerRow" dxfId="160"/>
      <tableStyleElement type="firstRowStripe" dxfId="159"/>
      <tableStyleElement type="secondRowStripe" dxfId="158"/>
    </tableStyle>
    <tableStyle name="Hoja 1-style 2" pivot="0" count="3" xr9:uid="{00000000-0011-0000-FFFF-FFFF04000000}">
      <tableStyleElement type="headerRow" dxfId="157"/>
      <tableStyleElement type="firstRowStripe" dxfId="156"/>
      <tableStyleElement type="secondRowStripe" dxfId="155"/>
    </tableStyle>
    <tableStyle name="Hoja 1-style 3" pivot="0" count="3" xr9:uid="{00000000-0011-0000-FFFF-FFFF05000000}">
      <tableStyleElement type="headerRow" dxfId="154"/>
      <tableStyleElement type="firstRowStripe" dxfId="153"/>
      <tableStyleElement type="secondRowStripe" dxfId="152"/>
    </tableStyle>
    <tableStyle name="MODELO DE LISTA DE COMPROBACION-style" pivot="0" count="3" xr9:uid="{00000000-0011-0000-FFFF-FFFF06000000}">
      <tableStyleElement type="headerRow" dxfId="151"/>
      <tableStyleElement type="firstRowStripe" dxfId="150"/>
      <tableStyleElement type="secondRowStripe" dxfId="149"/>
    </tableStyle>
    <tableStyle name="MODELO DE LISTA DE COMPROBACION-style 2" pivot="0" count="3" xr9:uid="{00000000-0011-0000-FFFF-FFFF07000000}">
      <tableStyleElement type="headerRow" dxfId="148"/>
      <tableStyleElement type="firstRowStripe" dxfId="147"/>
      <tableStyleElement type="secondRowStripe" dxfId="146"/>
    </tableStyle>
    <tableStyle name="MODELO DE LISTA DE COMPROBACION-style 3" pivot="0" count="3" xr9:uid="{00000000-0011-0000-FFFF-FFFF08000000}">
      <tableStyleElement type="headerRow" dxfId="145"/>
      <tableStyleElement type="firstRowStripe" dxfId="144"/>
      <tableStyleElement type="secondRowStripe" dxfId="1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F5AC-4D33-A845-BE2019AA38AC}"/>
              </c:ext>
            </c:extLst>
          </c:dPt>
          <c:dPt>
            <c:idx val="1"/>
            <c:bubble3D val="0"/>
            <c:spPr>
              <a:solidFill>
                <a:srgbClr val="C0504D"/>
              </a:solidFill>
            </c:spPr>
            <c:extLst>
              <c:ext xmlns:c16="http://schemas.microsoft.com/office/drawing/2014/chart" uri="{C3380CC4-5D6E-409C-BE32-E72D297353CC}">
                <c16:uniqueId val="{00000003-F5AC-4D33-A845-BE2019AA38AC}"/>
              </c:ext>
            </c:extLst>
          </c:dPt>
          <c:dPt>
            <c:idx val="2"/>
            <c:bubble3D val="0"/>
            <c:spPr>
              <a:solidFill>
                <a:srgbClr val="9BBB59"/>
              </a:solidFill>
            </c:spPr>
            <c:extLst>
              <c:ext xmlns:c16="http://schemas.microsoft.com/office/drawing/2014/chart" uri="{C3380CC4-5D6E-409C-BE32-E72D297353CC}">
                <c16:uniqueId val="{00000005-F5AC-4D33-A845-BE2019AA38A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CU1'!$B$41:$B$43</c:f>
              <c:strCache>
                <c:ptCount val="3"/>
                <c:pt idx="0">
                  <c:v>CONTENIDO </c:v>
                </c:pt>
                <c:pt idx="1">
                  <c:v>DOCUMENTACIÓN</c:v>
                </c:pt>
                <c:pt idx="2">
                  <c:v>NIVEL DE ACUERDO</c:v>
                </c:pt>
              </c:strCache>
            </c:strRef>
          </c:cat>
          <c:val>
            <c:numRef>
              <c:f>'MODELO LISTA DE COMPROBACIO CU1'!$C$41:$C$43</c:f>
              <c:numCache>
                <c:formatCode>General</c:formatCode>
                <c:ptCount val="3"/>
                <c:pt idx="0">
                  <c:v>56</c:v>
                </c:pt>
                <c:pt idx="1">
                  <c:v>100</c:v>
                </c:pt>
                <c:pt idx="2">
                  <c:v>100</c:v>
                </c:pt>
              </c:numCache>
            </c:numRef>
          </c:val>
          <c:extLst>
            <c:ext xmlns:c16="http://schemas.microsoft.com/office/drawing/2014/chart" uri="{C3380CC4-5D6E-409C-BE32-E72D297353CC}">
              <c16:uniqueId val="{00000006-F5AC-4D33-A845-BE2019AA38AC}"/>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E0A-4819-9B3F-483B7DFE791F}"/>
              </c:ext>
            </c:extLst>
          </c:dPt>
          <c:dPt>
            <c:idx val="1"/>
            <c:bubble3D val="0"/>
            <c:spPr>
              <a:solidFill>
                <a:srgbClr val="C0504D"/>
              </a:solidFill>
            </c:spPr>
            <c:extLst>
              <c:ext xmlns:c16="http://schemas.microsoft.com/office/drawing/2014/chart" uri="{C3380CC4-5D6E-409C-BE32-E72D297353CC}">
                <c16:uniqueId val="{00000003-DE0A-4819-9B3F-483B7DFE791F}"/>
              </c:ext>
            </c:extLst>
          </c:dPt>
          <c:dPt>
            <c:idx val="2"/>
            <c:bubble3D val="0"/>
            <c:spPr>
              <a:solidFill>
                <a:srgbClr val="9BBB59"/>
              </a:solidFill>
            </c:spPr>
            <c:extLst>
              <c:ext xmlns:c16="http://schemas.microsoft.com/office/drawing/2014/chart" uri="{C3380CC4-5D6E-409C-BE32-E72D297353CC}">
                <c16:uniqueId val="{00000005-DE0A-4819-9B3F-483B7DFE791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CU2'!$B$41:$B$43</c:f>
              <c:strCache>
                <c:ptCount val="3"/>
                <c:pt idx="0">
                  <c:v>CONTENIDO </c:v>
                </c:pt>
                <c:pt idx="1">
                  <c:v>DOCUMENTACIÓN</c:v>
                </c:pt>
                <c:pt idx="2">
                  <c:v>NIVEL DE ACUERDO</c:v>
                </c:pt>
              </c:strCache>
            </c:strRef>
          </c:cat>
          <c:val>
            <c:numRef>
              <c:f>'MODELO LISTA DE COMPROBACIO CU2'!$C$41:$C$43</c:f>
              <c:numCache>
                <c:formatCode>General</c:formatCode>
                <c:ptCount val="3"/>
                <c:pt idx="0">
                  <c:v>56</c:v>
                </c:pt>
                <c:pt idx="1">
                  <c:v>100</c:v>
                </c:pt>
                <c:pt idx="2">
                  <c:v>100</c:v>
                </c:pt>
              </c:numCache>
            </c:numRef>
          </c:val>
          <c:extLst>
            <c:ext xmlns:c16="http://schemas.microsoft.com/office/drawing/2014/chart" uri="{C3380CC4-5D6E-409C-BE32-E72D297353CC}">
              <c16:uniqueId val="{00000006-DE0A-4819-9B3F-483B7DFE791F}"/>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B207-4371-8548-EC752A6D6CCC}"/>
              </c:ext>
            </c:extLst>
          </c:dPt>
          <c:dPt>
            <c:idx val="1"/>
            <c:bubble3D val="0"/>
            <c:spPr>
              <a:solidFill>
                <a:srgbClr val="C0504D"/>
              </a:solidFill>
            </c:spPr>
            <c:extLst>
              <c:ext xmlns:c16="http://schemas.microsoft.com/office/drawing/2014/chart" uri="{C3380CC4-5D6E-409C-BE32-E72D297353CC}">
                <c16:uniqueId val="{00000003-B207-4371-8548-EC752A6D6CCC}"/>
              </c:ext>
            </c:extLst>
          </c:dPt>
          <c:dPt>
            <c:idx val="2"/>
            <c:bubble3D val="0"/>
            <c:spPr>
              <a:solidFill>
                <a:srgbClr val="9BBB59"/>
              </a:solidFill>
            </c:spPr>
            <c:extLst>
              <c:ext xmlns:c16="http://schemas.microsoft.com/office/drawing/2014/chart" uri="{C3380CC4-5D6E-409C-BE32-E72D297353CC}">
                <c16:uniqueId val="{00000005-B207-4371-8548-EC752A6D6CC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CU4'!$B$41:$B$43</c:f>
              <c:strCache>
                <c:ptCount val="3"/>
                <c:pt idx="0">
                  <c:v>CONTENIDO </c:v>
                </c:pt>
                <c:pt idx="1">
                  <c:v>DOCUMENTACIÓN</c:v>
                </c:pt>
                <c:pt idx="2">
                  <c:v>NIVEL DE ACUERDO</c:v>
                </c:pt>
              </c:strCache>
            </c:strRef>
          </c:cat>
          <c:val>
            <c:numRef>
              <c:f>'MODELO LISTA DE COMPROBACIO CU4'!$C$41:$C$43</c:f>
              <c:numCache>
                <c:formatCode>General</c:formatCode>
                <c:ptCount val="3"/>
                <c:pt idx="0">
                  <c:v>56</c:v>
                </c:pt>
                <c:pt idx="1">
                  <c:v>80</c:v>
                </c:pt>
                <c:pt idx="2">
                  <c:v>100</c:v>
                </c:pt>
              </c:numCache>
            </c:numRef>
          </c:val>
          <c:extLst>
            <c:ext xmlns:c16="http://schemas.microsoft.com/office/drawing/2014/chart" uri="{C3380CC4-5D6E-409C-BE32-E72D297353CC}">
              <c16:uniqueId val="{00000006-B207-4371-8548-EC752A6D6CCC}"/>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C4A7-4244-8653-34502A6E755D}"/>
              </c:ext>
            </c:extLst>
          </c:dPt>
          <c:dPt>
            <c:idx val="1"/>
            <c:bubble3D val="0"/>
            <c:spPr>
              <a:solidFill>
                <a:srgbClr val="C0504D"/>
              </a:solidFill>
            </c:spPr>
            <c:extLst>
              <c:ext xmlns:c16="http://schemas.microsoft.com/office/drawing/2014/chart" uri="{C3380CC4-5D6E-409C-BE32-E72D297353CC}">
                <c16:uniqueId val="{00000003-C4A7-4244-8653-34502A6E755D}"/>
              </c:ext>
            </c:extLst>
          </c:dPt>
          <c:dPt>
            <c:idx val="2"/>
            <c:bubble3D val="0"/>
            <c:spPr>
              <a:solidFill>
                <a:srgbClr val="9BBB59"/>
              </a:solidFill>
            </c:spPr>
            <c:extLst>
              <c:ext xmlns:c16="http://schemas.microsoft.com/office/drawing/2014/chart" uri="{C3380CC4-5D6E-409C-BE32-E72D297353CC}">
                <c16:uniqueId val="{00000005-C4A7-4244-8653-34502A6E755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 CU6'!$B$41:$B$43</c:f>
              <c:strCache>
                <c:ptCount val="3"/>
                <c:pt idx="0">
                  <c:v>CONTENIDO </c:v>
                </c:pt>
                <c:pt idx="1">
                  <c:v>DOCUMENTACIÓN</c:v>
                </c:pt>
                <c:pt idx="2">
                  <c:v>NIVEL DE ACUERDO</c:v>
                </c:pt>
              </c:strCache>
            </c:strRef>
          </c:cat>
          <c:val>
            <c:numRef>
              <c:f>'MODELO LISTA DE COMPROBACI CU6'!$C$41:$C$43</c:f>
              <c:numCache>
                <c:formatCode>General</c:formatCode>
                <c:ptCount val="3"/>
                <c:pt idx="0">
                  <c:v>44</c:v>
                </c:pt>
                <c:pt idx="1">
                  <c:v>80</c:v>
                </c:pt>
                <c:pt idx="2">
                  <c:v>100</c:v>
                </c:pt>
              </c:numCache>
            </c:numRef>
          </c:val>
          <c:extLst>
            <c:ext xmlns:c16="http://schemas.microsoft.com/office/drawing/2014/chart" uri="{C3380CC4-5D6E-409C-BE32-E72D297353CC}">
              <c16:uniqueId val="{00000006-C4A7-4244-8653-34502A6E755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95D-4E7D-8639-C3447D4CA19F}"/>
              </c:ext>
            </c:extLst>
          </c:dPt>
          <c:dPt>
            <c:idx val="1"/>
            <c:bubble3D val="0"/>
            <c:spPr>
              <a:solidFill>
                <a:srgbClr val="C0504D"/>
              </a:solidFill>
            </c:spPr>
            <c:extLst>
              <c:ext xmlns:c16="http://schemas.microsoft.com/office/drawing/2014/chart" uri="{C3380CC4-5D6E-409C-BE32-E72D297353CC}">
                <c16:uniqueId val="{00000003-D95D-4E7D-8639-C3447D4CA19F}"/>
              </c:ext>
            </c:extLst>
          </c:dPt>
          <c:dPt>
            <c:idx val="2"/>
            <c:bubble3D val="0"/>
            <c:spPr>
              <a:solidFill>
                <a:srgbClr val="9BBB59"/>
              </a:solidFill>
            </c:spPr>
            <c:extLst>
              <c:ext xmlns:c16="http://schemas.microsoft.com/office/drawing/2014/chart" uri="{C3380CC4-5D6E-409C-BE32-E72D297353CC}">
                <c16:uniqueId val="{00000005-D95D-4E7D-8639-C3447D4CA19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CU8'!$B$41:$B$43</c:f>
              <c:strCache>
                <c:ptCount val="3"/>
                <c:pt idx="0">
                  <c:v>CONTENIDO </c:v>
                </c:pt>
                <c:pt idx="1">
                  <c:v>DOCUMENTACIÓN</c:v>
                </c:pt>
                <c:pt idx="2">
                  <c:v>NIVEL DE ACUERDO</c:v>
                </c:pt>
              </c:strCache>
            </c:strRef>
          </c:cat>
          <c:val>
            <c:numRef>
              <c:f>'MODELO LISTA DE COMPROBACIO CU8'!$C$41:$C$43</c:f>
              <c:numCache>
                <c:formatCode>General</c:formatCode>
                <c:ptCount val="3"/>
                <c:pt idx="0">
                  <c:v>56</c:v>
                </c:pt>
                <c:pt idx="1">
                  <c:v>80</c:v>
                </c:pt>
                <c:pt idx="2">
                  <c:v>100</c:v>
                </c:pt>
              </c:numCache>
            </c:numRef>
          </c:val>
          <c:extLst>
            <c:ext xmlns:c16="http://schemas.microsoft.com/office/drawing/2014/chart" uri="{C3380CC4-5D6E-409C-BE32-E72D297353CC}">
              <c16:uniqueId val="{00000006-D95D-4E7D-8639-C3447D4CA19F}"/>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0DF4-4FBE-BC9D-243AA0F2AF25}"/>
              </c:ext>
            </c:extLst>
          </c:dPt>
          <c:dPt>
            <c:idx val="1"/>
            <c:bubble3D val="0"/>
            <c:spPr>
              <a:solidFill>
                <a:srgbClr val="C0504D"/>
              </a:solidFill>
            </c:spPr>
            <c:extLst>
              <c:ext xmlns:c16="http://schemas.microsoft.com/office/drawing/2014/chart" uri="{C3380CC4-5D6E-409C-BE32-E72D297353CC}">
                <c16:uniqueId val="{00000003-0DF4-4FBE-BC9D-243AA0F2AF25}"/>
              </c:ext>
            </c:extLst>
          </c:dPt>
          <c:dPt>
            <c:idx val="2"/>
            <c:bubble3D val="0"/>
            <c:spPr>
              <a:solidFill>
                <a:srgbClr val="9BBB59"/>
              </a:solidFill>
            </c:spPr>
            <c:extLst>
              <c:ext xmlns:c16="http://schemas.microsoft.com/office/drawing/2014/chart" uri="{C3380CC4-5D6E-409C-BE32-E72D297353CC}">
                <c16:uniqueId val="{00000005-0DF4-4FBE-BC9D-243AA0F2AF2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COMPROBACIOCU11'!$B$41:$B$43</c:f>
              <c:strCache>
                <c:ptCount val="3"/>
                <c:pt idx="0">
                  <c:v>CONTENIDO </c:v>
                </c:pt>
                <c:pt idx="1">
                  <c:v>DOCUMENTACIÓN</c:v>
                </c:pt>
                <c:pt idx="2">
                  <c:v>NIVEL DE ACUERDO</c:v>
                </c:pt>
              </c:strCache>
            </c:strRef>
          </c:cat>
          <c:val>
            <c:numRef>
              <c:f>'MODELO LISTA DE COMPROBACIOCU11'!$C$41:$C$43</c:f>
              <c:numCache>
                <c:formatCode>General</c:formatCode>
                <c:ptCount val="3"/>
                <c:pt idx="0">
                  <c:v>33</c:v>
                </c:pt>
                <c:pt idx="1">
                  <c:v>60</c:v>
                </c:pt>
                <c:pt idx="2">
                  <c:v>100</c:v>
                </c:pt>
              </c:numCache>
            </c:numRef>
          </c:val>
          <c:extLst>
            <c:ext xmlns:c16="http://schemas.microsoft.com/office/drawing/2014/chart" uri="{C3380CC4-5D6E-409C-BE32-E72D297353CC}">
              <c16:uniqueId val="{00000006-0DF4-4FBE-BC9D-243AA0F2AF2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3211-45E1-90FC-97C742EBECD8}"/>
              </c:ext>
            </c:extLst>
          </c:dPt>
          <c:dPt>
            <c:idx val="1"/>
            <c:bubble3D val="0"/>
            <c:spPr>
              <a:solidFill>
                <a:srgbClr val="C0504D"/>
              </a:solidFill>
            </c:spPr>
            <c:extLst>
              <c:ext xmlns:c16="http://schemas.microsoft.com/office/drawing/2014/chart" uri="{C3380CC4-5D6E-409C-BE32-E72D297353CC}">
                <c16:uniqueId val="{00000003-3211-45E1-90FC-97C742EBECD8}"/>
              </c:ext>
            </c:extLst>
          </c:dPt>
          <c:dPt>
            <c:idx val="2"/>
            <c:bubble3D val="0"/>
            <c:spPr>
              <a:solidFill>
                <a:srgbClr val="9BBB59"/>
              </a:solidFill>
            </c:spPr>
            <c:extLst>
              <c:ext xmlns:c16="http://schemas.microsoft.com/office/drawing/2014/chart" uri="{C3380CC4-5D6E-409C-BE32-E72D297353CC}">
                <c16:uniqueId val="{00000005-3211-45E1-90FC-97C742EBECD8}"/>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CU7'!$B$41:$B$43</c:f>
              <c:strCache>
                <c:ptCount val="3"/>
                <c:pt idx="0">
                  <c:v>CONTENIDO </c:v>
                </c:pt>
                <c:pt idx="1">
                  <c:v>DOCUMENTACIÓN</c:v>
                </c:pt>
                <c:pt idx="2">
                  <c:v>NIVEL DE ACUERDO</c:v>
                </c:pt>
              </c:strCache>
            </c:strRef>
          </c:cat>
          <c:val>
            <c:numRef>
              <c:f>'MODELO LISTA DE COMPROBACIO CU7'!$C$41:$C$43</c:f>
              <c:numCache>
                <c:formatCode>General</c:formatCode>
                <c:ptCount val="3"/>
                <c:pt idx="0">
                  <c:v>67</c:v>
                </c:pt>
                <c:pt idx="1">
                  <c:v>100</c:v>
                </c:pt>
                <c:pt idx="2">
                  <c:v>100</c:v>
                </c:pt>
              </c:numCache>
            </c:numRef>
          </c:val>
          <c:extLst>
            <c:ext xmlns:c16="http://schemas.microsoft.com/office/drawing/2014/chart" uri="{C3380CC4-5D6E-409C-BE32-E72D297353CC}">
              <c16:uniqueId val="{00000006-3211-45E1-90FC-97C742EBECD8}"/>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1B2-4A0C-BFFF-4536C1A9CF64}"/>
              </c:ext>
            </c:extLst>
          </c:dPt>
          <c:dPt>
            <c:idx val="1"/>
            <c:bubble3D val="0"/>
            <c:spPr>
              <a:solidFill>
                <a:srgbClr val="C0504D"/>
              </a:solidFill>
            </c:spPr>
            <c:extLst>
              <c:ext xmlns:c16="http://schemas.microsoft.com/office/drawing/2014/chart" uri="{C3380CC4-5D6E-409C-BE32-E72D297353CC}">
                <c16:uniqueId val="{00000003-91B2-4A0C-BFFF-4536C1A9CF64}"/>
              </c:ext>
            </c:extLst>
          </c:dPt>
          <c:dPt>
            <c:idx val="2"/>
            <c:bubble3D val="0"/>
            <c:spPr>
              <a:solidFill>
                <a:srgbClr val="9BBB59"/>
              </a:solidFill>
            </c:spPr>
            <c:extLst>
              <c:ext xmlns:c16="http://schemas.microsoft.com/office/drawing/2014/chart" uri="{C3380CC4-5D6E-409C-BE32-E72D297353CC}">
                <c16:uniqueId val="{00000005-91B2-4A0C-BFFF-4536C1A9CF6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CU5'!$B$41:$B$43</c:f>
              <c:strCache>
                <c:ptCount val="3"/>
                <c:pt idx="0">
                  <c:v>CONTENIDO </c:v>
                </c:pt>
                <c:pt idx="1">
                  <c:v>DOCUMENTACIÓN</c:v>
                </c:pt>
                <c:pt idx="2">
                  <c:v>NIVEL DE ACUERDO</c:v>
                </c:pt>
              </c:strCache>
            </c:strRef>
          </c:cat>
          <c:val>
            <c:numRef>
              <c:f>'MODELO LISTA DE COMPROBACIO CU5'!$C$41:$C$43</c:f>
              <c:numCache>
                <c:formatCode>General</c:formatCode>
                <c:ptCount val="3"/>
                <c:pt idx="0">
                  <c:v>67</c:v>
                </c:pt>
                <c:pt idx="1">
                  <c:v>100</c:v>
                </c:pt>
                <c:pt idx="2">
                  <c:v>100</c:v>
                </c:pt>
              </c:numCache>
            </c:numRef>
          </c:val>
          <c:extLst>
            <c:ext xmlns:c16="http://schemas.microsoft.com/office/drawing/2014/chart" uri="{C3380CC4-5D6E-409C-BE32-E72D297353CC}">
              <c16:uniqueId val="{00000006-91B2-4A0C-BFFF-4536C1A9CF64}"/>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7A4-43AF-A57B-D55781A9FEC2}"/>
              </c:ext>
            </c:extLst>
          </c:dPt>
          <c:dPt>
            <c:idx val="1"/>
            <c:bubble3D val="0"/>
            <c:spPr>
              <a:solidFill>
                <a:srgbClr val="C0504D"/>
              </a:solidFill>
            </c:spPr>
            <c:extLst>
              <c:ext xmlns:c16="http://schemas.microsoft.com/office/drawing/2014/chart" uri="{C3380CC4-5D6E-409C-BE32-E72D297353CC}">
                <c16:uniqueId val="{00000003-17A4-43AF-A57B-D55781A9FEC2}"/>
              </c:ext>
            </c:extLst>
          </c:dPt>
          <c:dPt>
            <c:idx val="2"/>
            <c:bubble3D val="0"/>
            <c:spPr>
              <a:solidFill>
                <a:srgbClr val="9BBB59"/>
              </a:solidFill>
            </c:spPr>
            <c:extLst>
              <c:ext xmlns:c16="http://schemas.microsoft.com/office/drawing/2014/chart" uri="{C3380CC4-5D6E-409C-BE32-E72D297353CC}">
                <c16:uniqueId val="{00000005-17A4-43AF-A57B-D55781A9FEC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CU3'!$B$41:$B$43</c:f>
              <c:strCache>
                <c:ptCount val="3"/>
                <c:pt idx="0">
                  <c:v>CONTENIDO </c:v>
                </c:pt>
                <c:pt idx="1">
                  <c:v>DOCUMENTACIÓN</c:v>
                </c:pt>
                <c:pt idx="2">
                  <c:v>NIVEL DE ACUERDO</c:v>
                </c:pt>
              </c:strCache>
            </c:strRef>
          </c:cat>
          <c:val>
            <c:numRef>
              <c:f>'MODELO LISTA DE COMPROBACIO CU3'!$C$41:$C$43</c:f>
              <c:numCache>
                <c:formatCode>General</c:formatCode>
                <c:ptCount val="3"/>
                <c:pt idx="0">
                  <c:v>67</c:v>
                </c:pt>
                <c:pt idx="1">
                  <c:v>100</c:v>
                </c:pt>
                <c:pt idx="2">
                  <c:v>100</c:v>
                </c:pt>
              </c:numCache>
            </c:numRef>
          </c:val>
          <c:extLst>
            <c:ext xmlns:c16="http://schemas.microsoft.com/office/drawing/2014/chart" uri="{C3380CC4-5D6E-409C-BE32-E72D297353CC}">
              <c16:uniqueId val="{00000006-17A4-43AF-A57B-D55781A9FEC2}"/>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AE4-435E-97BB-4675E9A4E320}"/>
              </c:ext>
            </c:extLst>
          </c:dPt>
          <c:dPt>
            <c:idx val="1"/>
            <c:bubble3D val="0"/>
            <c:spPr>
              <a:solidFill>
                <a:srgbClr val="C0504D"/>
              </a:solidFill>
            </c:spPr>
            <c:extLst>
              <c:ext xmlns:c16="http://schemas.microsoft.com/office/drawing/2014/chart" uri="{C3380CC4-5D6E-409C-BE32-E72D297353CC}">
                <c16:uniqueId val="{00000003-9AE4-435E-97BB-4675E9A4E320}"/>
              </c:ext>
            </c:extLst>
          </c:dPt>
          <c:dPt>
            <c:idx val="2"/>
            <c:bubble3D val="0"/>
            <c:spPr>
              <a:solidFill>
                <a:srgbClr val="9BBB59"/>
              </a:solidFill>
            </c:spPr>
            <c:extLst>
              <c:ext xmlns:c16="http://schemas.microsoft.com/office/drawing/2014/chart" uri="{C3380CC4-5D6E-409C-BE32-E72D297353CC}">
                <c16:uniqueId val="{00000005-9AE4-435E-97BB-4675E9A4E32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CU9'!$B$41:$B$43</c:f>
              <c:strCache>
                <c:ptCount val="3"/>
                <c:pt idx="0">
                  <c:v>CONTENIDO </c:v>
                </c:pt>
                <c:pt idx="1">
                  <c:v>DOCUMENTACIÓN</c:v>
                </c:pt>
                <c:pt idx="2">
                  <c:v>NIVEL DE ACUERDO</c:v>
                </c:pt>
              </c:strCache>
            </c:strRef>
          </c:cat>
          <c:val>
            <c:numRef>
              <c:f>'MODELO LISTA DE COMPROBACIO CU9'!$C$41:$C$43</c:f>
              <c:numCache>
                <c:formatCode>General</c:formatCode>
                <c:ptCount val="3"/>
                <c:pt idx="0">
                  <c:v>56</c:v>
                </c:pt>
                <c:pt idx="1">
                  <c:v>100</c:v>
                </c:pt>
                <c:pt idx="2">
                  <c:v>100</c:v>
                </c:pt>
              </c:numCache>
            </c:numRef>
          </c:val>
          <c:extLst>
            <c:ext xmlns:c16="http://schemas.microsoft.com/office/drawing/2014/chart" uri="{C3380CC4-5D6E-409C-BE32-E72D297353CC}">
              <c16:uniqueId val="{00000006-9AE4-435E-97BB-4675E9A4E32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456-4697-A600-1EC3ABADFFAE}"/>
              </c:ext>
            </c:extLst>
          </c:dPt>
          <c:dPt>
            <c:idx val="1"/>
            <c:bubble3D val="0"/>
            <c:spPr>
              <a:solidFill>
                <a:srgbClr val="C0504D"/>
              </a:solidFill>
            </c:spPr>
            <c:extLst>
              <c:ext xmlns:c16="http://schemas.microsoft.com/office/drawing/2014/chart" uri="{C3380CC4-5D6E-409C-BE32-E72D297353CC}">
                <c16:uniqueId val="{00000003-D456-4697-A600-1EC3ABADFFAE}"/>
              </c:ext>
            </c:extLst>
          </c:dPt>
          <c:dPt>
            <c:idx val="2"/>
            <c:bubble3D val="0"/>
            <c:spPr>
              <a:solidFill>
                <a:srgbClr val="9BBB59"/>
              </a:solidFill>
            </c:spPr>
            <c:extLst>
              <c:ext xmlns:c16="http://schemas.microsoft.com/office/drawing/2014/chart" uri="{C3380CC4-5D6E-409C-BE32-E72D297353CC}">
                <c16:uniqueId val="{00000005-D456-4697-A600-1EC3ABADFFA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COMPROBACIOCU12'!$B$41:$B$43</c:f>
              <c:strCache>
                <c:ptCount val="3"/>
                <c:pt idx="0">
                  <c:v>CONTENIDO </c:v>
                </c:pt>
                <c:pt idx="1">
                  <c:v>DOCUMENTACIÓN</c:v>
                </c:pt>
                <c:pt idx="2">
                  <c:v>NIVEL DE ACUERDO</c:v>
                </c:pt>
              </c:strCache>
            </c:strRef>
          </c:cat>
          <c:val>
            <c:numRef>
              <c:f>'MODELO LISTA DE COMPROBACIOCU12'!$C$41:$C$43</c:f>
              <c:numCache>
                <c:formatCode>General</c:formatCode>
                <c:ptCount val="3"/>
                <c:pt idx="0">
                  <c:v>56</c:v>
                </c:pt>
                <c:pt idx="1">
                  <c:v>100</c:v>
                </c:pt>
                <c:pt idx="2">
                  <c:v>100</c:v>
                </c:pt>
              </c:numCache>
            </c:numRef>
          </c:val>
          <c:extLst>
            <c:ext xmlns:c16="http://schemas.microsoft.com/office/drawing/2014/chart" uri="{C3380CC4-5D6E-409C-BE32-E72D297353CC}">
              <c16:uniqueId val="{00000006-D456-4697-A600-1EC3ABADFFAE}"/>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DBE2-45AF-8042-CC9209210E8C}"/>
              </c:ext>
            </c:extLst>
          </c:dPt>
          <c:dPt>
            <c:idx val="1"/>
            <c:bubble3D val="0"/>
            <c:spPr>
              <a:solidFill>
                <a:srgbClr val="C0504D"/>
              </a:solidFill>
            </c:spPr>
            <c:extLst>
              <c:ext xmlns:c16="http://schemas.microsoft.com/office/drawing/2014/chart" uri="{C3380CC4-5D6E-409C-BE32-E72D297353CC}">
                <c16:uniqueId val="{00000003-DBE2-45AF-8042-CC9209210E8C}"/>
              </c:ext>
            </c:extLst>
          </c:dPt>
          <c:dPt>
            <c:idx val="2"/>
            <c:bubble3D val="0"/>
            <c:spPr>
              <a:solidFill>
                <a:srgbClr val="9BBB59"/>
              </a:solidFill>
            </c:spPr>
            <c:extLst>
              <c:ext xmlns:c16="http://schemas.microsoft.com/office/drawing/2014/chart" uri="{C3380CC4-5D6E-409C-BE32-E72D297353CC}">
                <c16:uniqueId val="{00000005-DBE2-45AF-8042-CC9209210E8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COMPROBACIOCU10'!$B$41:$B$43</c:f>
              <c:strCache>
                <c:ptCount val="3"/>
                <c:pt idx="0">
                  <c:v>CONTENIDO </c:v>
                </c:pt>
                <c:pt idx="1">
                  <c:v>DOCUMENTACIÓN</c:v>
                </c:pt>
                <c:pt idx="2">
                  <c:v>NIVEL DE ACUERDO</c:v>
                </c:pt>
              </c:strCache>
            </c:strRef>
          </c:cat>
          <c:val>
            <c:numRef>
              <c:f>'MODELO LISTA DE COMPROBACIOCU10'!$C$41:$C$43</c:f>
              <c:numCache>
                <c:formatCode>General</c:formatCode>
                <c:ptCount val="3"/>
                <c:pt idx="0">
                  <c:v>56</c:v>
                </c:pt>
                <c:pt idx="1">
                  <c:v>100</c:v>
                </c:pt>
                <c:pt idx="2">
                  <c:v>100</c:v>
                </c:pt>
              </c:numCache>
            </c:numRef>
          </c:val>
          <c:extLst>
            <c:ext xmlns:c16="http://schemas.microsoft.com/office/drawing/2014/chart" uri="{C3380CC4-5D6E-409C-BE32-E72D297353CC}">
              <c16:uniqueId val="{00000006-DBE2-45AF-8042-CC9209210E8C}"/>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22C34483-2062-4C05-8716-B368EA869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1">
          <a:extLst>
            <a:ext uri="{FF2B5EF4-FFF2-40B4-BE49-F238E27FC236}">
              <a16:creationId xmlns:a16="http://schemas.microsoft.com/office/drawing/2014/main" id="{9FB98D1D-3C41-4413-9C16-E9AE258DF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1">
          <a:extLst>
            <a:ext uri="{FF2B5EF4-FFF2-40B4-BE49-F238E27FC236}">
              <a16:creationId xmlns:a16="http://schemas.microsoft.com/office/drawing/2014/main" id="{E61527CC-F589-4FE5-BF22-7499A5309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4" name="Chart 1">
          <a:extLst>
            <a:ext uri="{FF2B5EF4-FFF2-40B4-BE49-F238E27FC236}">
              <a16:creationId xmlns:a16="http://schemas.microsoft.com/office/drawing/2014/main" id="{01F146C3-FF95-46A7-9F39-EDD254958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4" name="Chart 1">
          <a:extLst>
            <a:ext uri="{FF2B5EF4-FFF2-40B4-BE49-F238E27FC236}">
              <a16:creationId xmlns:a16="http://schemas.microsoft.com/office/drawing/2014/main" id="{4D71F31E-DD56-4B83-8D73-0B6F2EEBC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4" name="Chart 1">
          <a:extLst>
            <a:ext uri="{FF2B5EF4-FFF2-40B4-BE49-F238E27FC236}">
              <a16:creationId xmlns:a16="http://schemas.microsoft.com/office/drawing/2014/main" id="{73975195-7C48-49A8-A157-9EE1685FC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4" name="Chart 1">
          <a:extLst>
            <a:ext uri="{FF2B5EF4-FFF2-40B4-BE49-F238E27FC236}">
              <a16:creationId xmlns:a16="http://schemas.microsoft.com/office/drawing/2014/main" id="{6226FE3A-72CF-4369-A885-B08FC21F7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5" name="Chart 1">
          <a:extLst>
            <a:ext uri="{FF2B5EF4-FFF2-40B4-BE49-F238E27FC236}">
              <a16:creationId xmlns:a16="http://schemas.microsoft.com/office/drawing/2014/main" id="{B21AE8ED-82B6-4A6B-9F6E-B2F587EA2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30EF61C4-9E14-4BC7-AC55-5890FE73E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6CCE1A65-43C4-4812-BBA2-40B5DBA99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41B02A2B-FCDC-472E-9DD8-825B9A891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3E97CC5C-4139-46E2-BE0A-9F4650F82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3B9959-4227-4890-B058-A75F23E573CA}" name="Table_1115" displayName="Table_1115" ref="A7:D16">
  <tableColumns count="4">
    <tableColumn id="1" xr3:uid="{A9A79EFE-223E-40BE-A93D-B76FFD781478}" name="No."/>
    <tableColumn id="2" xr3:uid="{45C9FB60-DA9B-463E-99C3-27D78548B326}" name="Pregunta"/>
    <tableColumn id="3" xr3:uid="{5CF09143-664A-4CE2-8F95-E108D6D3DF82}" name="SI"/>
    <tableColumn id="4" xr3:uid="{738BF538-5DCC-47E7-8647-F8EBCC9C75DD}"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72373D-FA9A-4383-9D05-F40C1D77EE6D}" name="Table_2126" displayName="Table_2126" ref="A21:D26">
  <tableColumns count="4">
    <tableColumn id="1" xr3:uid="{D7302378-0AA5-4F13-8049-18E2913A83C7}" name="No."/>
    <tableColumn id="2" xr3:uid="{A6B4BEFA-F8F1-45DD-B607-78595AFC18AF}" name="Pregunta"/>
    <tableColumn id="3" xr3:uid="{271E36A0-851D-47D0-9459-84FAE31AA24A}" name="SI"/>
    <tableColumn id="4" xr3:uid="{0ED9766F-1E8C-49A5-91AD-06705FD441CA}"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C41D4C-A1FC-4CCD-AAA6-66F00215A95C}" name="Table_3137" displayName="Table_3137" ref="A31:D34">
  <tableColumns count="4">
    <tableColumn id="1" xr3:uid="{ECFFADAB-F00F-44E9-9A91-FEC1553B2617}" name="No."/>
    <tableColumn id="2" xr3:uid="{6B9E7212-F8B9-47A4-959B-6457342E95FB}" name="Pregunta"/>
    <tableColumn id="3" xr3:uid="{E32AE77E-DBB8-46EF-AB65-81A9CD0C1CDF}" name="SI"/>
    <tableColumn id="4" xr3:uid="{ACBE5186-701F-441A-A9E6-51501C32D2FE}"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38CD1D-6475-4A54-A88F-05F6D56730F2}" name="Table_111" displayName="Table_111" ref="A7:D16">
  <tableColumns count="4">
    <tableColumn id="1" xr3:uid="{739FA599-0E52-4292-9796-A9B6C504C4CA}" name="No."/>
    <tableColumn id="2" xr3:uid="{1C9FE1DA-930F-43EC-8D03-17F31E48CEDE}" name="Pregunta"/>
    <tableColumn id="3" xr3:uid="{205C9B02-F453-4405-8244-678DA80F7ECD}" name="SI"/>
    <tableColumn id="4" xr3:uid="{D7302115-A26A-44EF-9386-5741FD6B91F8}" name="NO "/>
  </tableColumns>
  <tableStyleInfo name="MODELO LISTA DE COMPROBACION -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6B280E-D6F4-4CD9-8A38-B6D25B35396C}" name="Table_212" displayName="Table_212" ref="A21:D26">
  <tableColumns count="4">
    <tableColumn id="1" xr3:uid="{0F71E63F-9041-4BBD-B034-587254DECF04}" name="No."/>
    <tableColumn id="2" xr3:uid="{E52B5A5D-0EFC-41EB-8085-4E69A1A3553D}" name="Pregunta"/>
    <tableColumn id="3" xr3:uid="{A813F402-55C9-4749-BBF6-EBF650A10DDB}" name="SI"/>
    <tableColumn id="4" xr3:uid="{0BAF6048-2C73-4472-B611-BC362C7567B2}" name="NO "/>
  </tableColumns>
  <tableStyleInfo name="MODELO LISTA DE COMPROBACION - -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9DF6910-48CD-4514-8345-A966085D8BBC}" name="Table_313" displayName="Table_313" ref="A31:D34">
  <tableColumns count="4">
    <tableColumn id="1" xr3:uid="{D997F59C-0606-4541-A2E3-372D9987377E}" name="No."/>
    <tableColumn id="2" xr3:uid="{A5F9A3EC-6B70-442D-AE00-2F996EB5F869}" name="Pregunta"/>
    <tableColumn id="3" xr3:uid="{4C5D35E6-B2A7-4656-BF1D-671B24AA9F6E}" name="SI"/>
    <tableColumn id="4" xr3:uid="{8E40B1FC-275A-4F1A-87F8-F81988BA60A4}" name="NO "/>
  </tableColumns>
  <tableStyleInfo name="MODELO LISTA DE COMPROBACION - -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B51EA21-4222-4913-A674-997A7B93C28F}" name="Table_11114" displayName="Table_11114" ref="A7:D16">
  <tableColumns count="4">
    <tableColumn id="1" xr3:uid="{126A6CC0-EFB9-4BCC-9574-3013FEECCF79}" name="No."/>
    <tableColumn id="2" xr3:uid="{D4688CAC-D22C-44DC-B5C9-0CC9FEA0C898}" name="Pregunta"/>
    <tableColumn id="3" xr3:uid="{9BC62173-ACE7-483D-A56E-603738706934}" name="SI"/>
    <tableColumn id="4" xr3:uid="{BB2DA51E-89BF-473C-9215-F0A5CF3B4952}" name="NO "/>
  </tableColumns>
  <tableStyleInfo name="MODELO LISTA DE COMPROBACION - -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34E24E-B505-4513-92BA-575D3143C0BC}" name="Table_21215" displayName="Table_21215" ref="A21:D26">
  <tableColumns count="4">
    <tableColumn id="1" xr3:uid="{DB5DAA8D-6E8A-4D72-B19C-36460003E730}" name="No."/>
    <tableColumn id="2" xr3:uid="{47CFCECD-744D-4832-8385-897AC7E2C06F}" name="Pregunta"/>
    <tableColumn id="3" xr3:uid="{3F442ECF-1C8D-4A40-B6EA-11B48B1D9861}" name="SI"/>
    <tableColumn id="4" xr3:uid="{81084802-F7CD-451A-9EB0-E3F84BF120BE}" name="NO "/>
  </tableColumns>
  <tableStyleInfo name="MODELO LISTA DE COMPROBACION - -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36A2D69-4565-43C6-9C16-4A4D6EF60916}" name="Table_31316" displayName="Table_31316" ref="A31:D34">
  <tableColumns count="4">
    <tableColumn id="1" xr3:uid="{59E7A857-A7C6-4DD0-9F7D-EB9A6B85065F}" name="No."/>
    <tableColumn id="2" xr3:uid="{CF69F64C-9889-484F-B276-EC0313C1FD33}" name="Pregunta"/>
    <tableColumn id="3" xr3:uid="{56050AE4-A13E-4A01-9DF5-61EED320E997}" name="SI"/>
    <tableColumn id="4" xr3:uid="{EE3E0B7E-D74A-4EF0-AB53-F8FBA9F46B82}" name="NO "/>
  </tableColumns>
  <tableStyleInfo name="MODELO LISTA DE COMPROBACION - -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11C69A3-156C-480C-84C4-586A6B321B07}" name="Table_1111426" displayName="Table_1111426" ref="A7:D16">
  <tableColumns count="4">
    <tableColumn id="1" xr3:uid="{31FB9E8A-4667-4336-A788-AB305634BEFA}" name="No."/>
    <tableColumn id="2" xr3:uid="{6A5FEADA-2F01-412B-A583-89E2AC2B0373}" name="Pregunta"/>
    <tableColumn id="3" xr3:uid="{1787B156-0E9F-42D9-9480-3B200501AF1C}" name="SI"/>
    <tableColumn id="4" xr3:uid="{A26F125F-A61C-42A0-B2D6-DD5878AB160E}" name="NO "/>
  </tableColumns>
  <tableStyleInfo name="MODELO LISTA DE COMPROBACION - -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C435EAA-41B5-4318-9C5B-3E9CD5EACC6C}" name="Table_2121527" displayName="Table_2121527" ref="A21:D26">
  <tableColumns count="4">
    <tableColumn id="1" xr3:uid="{DC101B39-57A4-4038-9C7A-9F0445588AFB}" name="No."/>
    <tableColumn id="2" xr3:uid="{3A8B02A2-81DB-4A3F-85A3-8DE6FA734C0D}" name="Pregunta"/>
    <tableColumn id="3" xr3:uid="{493357EB-FE36-41B3-8B50-664A6661DA1D}" name="SI"/>
    <tableColumn id="4" xr3:uid="{631C2092-D476-4162-8490-E2F45AB5A382}" name="NO "/>
  </tableColumns>
  <tableStyleInfo name="MODELO LISTA DE COMPROBACION - -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09DACF-2512-4263-B1DA-2670A85AD859}" name="Table_3131628" displayName="Table_3131628" ref="A31:D34">
  <tableColumns count="4">
    <tableColumn id="1" xr3:uid="{54B01857-3695-4022-B9E9-5C377D014430}" name="No."/>
    <tableColumn id="2" xr3:uid="{422C5F47-31AE-44D8-9185-B47BACE6CE96}" name="Pregunta"/>
    <tableColumn id="3" xr3:uid="{7EBAC3BB-6248-43AB-B925-6ADDCD24F57C}" name="SI"/>
    <tableColumn id="4" xr3:uid="{AD7C53C6-0D7F-4434-BC58-B72D746D3696}" name="NO "/>
  </tableColumns>
  <tableStyleInfo name="MODELO LISTA DE COMPROBACION - -style 3"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9DFB63A-C204-411C-8D19-87ED9F07023F}" name="Table_1111423" displayName="Table_1111423" ref="A7:D16">
  <tableColumns count="4">
    <tableColumn id="1" xr3:uid="{7B74892D-D26B-480F-92FA-D1F712DCE80A}" name="No."/>
    <tableColumn id="2" xr3:uid="{252DB994-9D96-44B1-9824-741B890864B7}" name="Pregunta"/>
    <tableColumn id="3" xr3:uid="{D1402181-397F-4CBE-BD02-039FC599F91E}" name="SI"/>
    <tableColumn id="4" xr3:uid="{29D78F66-8259-496A-92FA-50CAB92564C0}" name="NO "/>
  </tableColumns>
  <tableStyleInfo name="MODELO LISTA DE COMPROBACION - -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F58D97-B721-4DB1-A433-E3E0D978D9F7}" name="Table_2121524" displayName="Table_2121524" ref="A21:D26">
  <tableColumns count="4">
    <tableColumn id="1" xr3:uid="{2EF50F59-CFA3-4AD1-98C1-11FF246E3E86}" name="No."/>
    <tableColumn id="2" xr3:uid="{848883FE-552B-44D2-8191-BD92D76AB5ED}" name="Pregunta"/>
    <tableColumn id="3" xr3:uid="{0C55939A-9B58-4DB3-8F82-FE6839E31C59}" name="SI"/>
    <tableColumn id="4" xr3:uid="{9153CB11-49BE-45A9-8C93-3EAD25E54D8E}" name="NO "/>
  </tableColumns>
  <tableStyleInfo name="MODELO LISTA DE COMPROBACION - -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BB2A0F0-4203-4515-ADF9-ED3E07B9D09D}" name="Table_3131625" displayName="Table_3131625" ref="A31:D34">
  <tableColumns count="4">
    <tableColumn id="1" xr3:uid="{9834D008-0FA0-48AA-AB3C-34B4AAA68BAC}" name="No."/>
    <tableColumn id="2" xr3:uid="{1225E1D8-809F-461F-8F92-B2B7A4235C1D}" name="Pregunta"/>
    <tableColumn id="3" xr3:uid="{CAC13B16-0F89-416F-8B43-214A3213406B}" name="SI"/>
    <tableColumn id="4" xr3:uid="{FDAA131E-80CA-4BF3-BB54-7639D2411A74}" name="NO "/>
  </tableColumns>
  <tableStyleInfo name="MODELO LISTA DE COMPROBACION - -style 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C217D50-20A6-48CA-8E33-E4557B65908C}" name="Table_1111420" displayName="Table_1111420" ref="A7:D16">
  <tableColumns count="4">
    <tableColumn id="1" xr3:uid="{97437F71-7D0A-487E-BD7B-CB7D1D0B40DE}" name="No."/>
    <tableColumn id="2" xr3:uid="{50A7185C-4290-4BF1-B82C-6A2A845C818A}" name="Pregunta"/>
    <tableColumn id="3" xr3:uid="{CFF88B5B-7EA7-4DCD-8692-5224FE067F34}" name="SI"/>
    <tableColumn id="4" xr3:uid="{05BF02D5-6E42-4D34-87C2-2AB789A77C78}" name="NO "/>
  </tableColumns>
  <tableStyleInfo name="MODELO LISTA DE COMPROBACION - -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35B703-7B43-411B-B8B6-BBCEE591A8AF}" name="Table_2121521" displayName="Table_2121521" ref="A21:D26">
  <tableColumns count="4">
    <tableColumn id="1" xr3:uid="{FC3136A5-D6D3-4666-AF52-B5D705342634}" name="No."/>
    <tableColumn id="2" xr3:uid="{859DE8B5-8930-4267-9DCB-C412AD53D0DF}" name="Pregunta"/>
    <tableColumn id="3" xr3:uid="{311FDE00-6AFA-456F-B145-8EDCAF61E98F}" name="SI"/>
    <tableColumn id="4" xr3:uid="{478CFE9C-0E45-45A4-BAD1-0D663E647827}" name="NO "/>
  </tableColumns>
  <tableStyleInfo name="MODELO LISTA DE COMPROBACION - -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8958F5C-B8DF-4D21-AFEF-1C30AB42BF74}" name="Table_3131622" displayName="Table_3131622" ref="A31:D34">
  <tableColumns count="4">
    <tableColumn id="1" xr3:uid="{1F9173FD-789E-4B7B-B51E-9D78251E0164}" name="No."/>
    <tableColumn id="2" xr3:uid="{DB58F554-F676-4B63-BEFF-8191D08737FD}" name="Pregunta"/>
    <tableColumn id="3" xr3:uid="{00C6A432-CA62-440B-AEE8-0C2CA4E06000}" name="SI"/>
    <tableColumn id="4" xr3:uid="{90A5CBD1-DB80-4E5F-B61F-8E5EAF2C8062}" name="NO "/>
  </tableColumns>
  <tableStyleInfo name="MODELO LISTA DE COMPROBACION - -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B1E73EF-785B-4B93-9E8E-049EF48AFD6F}" name="Table_1115293235" displayName="Table_1115293235" ref="A7:D16">
  <tableColumns count="4">
    <tableColumn id="1" xr3:uid="{8D289FE6-7944-4887-9013-4F8D8964653F}" name="No."/>
    <tableColumn id="2" xr3:uid="{0F5721FE-B3B2-420E-BCD0-425F3077403C}" name="Pregunta"/>
    <tableColumn id="3" xr3:uid="{3BD680B2-878D-4D55-A701-607D382B186F}" name="SI"/>
    <tableColumn id="4" xr3:uid="{D80ACA55-FEFF-402A-BEEE-08F79D326E20}" name="NO "/>
  </tableColumns>
  <tableStyleInfo name="MODELO LISTA DE COMPROBACION - -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8690F0C-5D57-49C4-89BA-A5236393583C}" name="Table_2126303336" displayName="Table_2126303336" ref="A21:D26">
  <tableColumns count="4">
    <tableColumn id="1" xr3:uid="{DB4AED11-5816-49B6-9B66-612F1F753B5D}" name="No."/>
    <tableColumn id="2" xr3:uid="{A0D2DBF5-F3DB-4EA5-B1AF-5FDC381160F0}" name="Pregunta"/>
    <tableColumn id="3" xr3:uid="{5D406908-93A8-4C10-895D-67D6CE93A5CD}" name="SI"/>
    <tableColumn id="4" xr3:uid="{F058CEBE-A111-4086-B638-AC251A9EBB95}" name="NO "/>
  </tableColumns>
  <tableStyleInfo name="MODELO LISTA DE COMPROBACION - -style 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3C4AE0B-A9F7-433C-80EB-9B9446570762}" name="Table_3137313437" displayName="Table_3137313437" ref="A31:D34">
  <tableColumns count="4">
    <tableColumn id="1" xr3:uid="{FDF9291D-0D9E-47F2-8AD1-EFE9D79C1BFF}" name="No."/>
    <tableColumn id="2" xr3:uid="{C7FB4371-3363-4C5E-B3B0-41C36CBCD677}" name="Pregunta"/>
    <tableColumn id="3" xr3:uid="{33B9C9F8-A014-4590-BCF1-16F9A955D246}" name="SI"/>
    <tableColumn id="4" xr3:uid="{17A2177F-41A6-4E98-A0F0-D6E31240D1F0}" name="NO "/>
  </tableColumns>
  <tableStyleInfo name="MODELO LISTA DE COMPROBACION - -style 3"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4A3B265-0D96-42E4-B015-B9287F389171}" name="Table_11152932" displayName="Table_11152932" ref="A7:D16">
  <tableColumns count="4">
    <tableColumn id="1" xr3:uid="{C6FB26BF-E4BA-4AEE-855D-2CC755E0B93D}" name="No."/>
    <tableColumn id="2" xr3:uid="{52782C7F-F296-4458-B17F-A00ED9D4381E}" name="Pregunta"/>
    <tableColumn id="3" xr3:uid="{842B371A-192D-48FB-912C-7EEA19DD699F}" name="SI"/>
    <tableColumn id="4" xr3:uid="{F9067B40-4C30-4166-AFE8-69E0A0A63BA7}" name="NO "/>
  </tableColumns>
  <tableStyleInfo name="MODELO LISTA DE COMPROBACION - -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B1D205C-24E0-43F3-A582-274886681131}" name="Table_21263033" displayName="Table_21263033" ref="A21:D26">
  <tableColumns count="4">
    <tableColumn id="1" xr3:uid="{4D34876D-2A86-4C15-AB92-9A1618FC2503}" name="No."/>
    <tableColumn id="2" xr3:uid="{8E1FB911-E7F5-4210-8355-2496C7117BBD}" name="Pregunta"/>
    <tableColumn id="3" xr3:uid="{0919C461-4176-4F8F-A592-2CDBD83D9D4E}" name="SI"/>
    <tableColumn id="4" xr3:uid="{C9AD4540-510F-4403-BCE7-EE0C745ACB27}" name="NO "/>
  </tableColumns>
  <tableStyleInfo name="MODELO LISTA DE COMPROBACION - -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27F486B-0442-4AC1-A41C-2BFE5A033FD7}" name="Table_31373134" displayName="Table_31373134" ref="A31:D34">
  <tableColumns count="4">
    <tableColumn id="1" xr3:uid="{8C06A962-7F92-410C-8D0C-426C8BB4D198}" name="No."/>
    <tableColumn id="2" xr3:uid="{EB786BC2-B55C-4F74-B617-17E4A72C6F0E}" name="Pregunta"/>
    <tableColumn id="3" xr3:uid="{3EA8F8CF-899C-4C46-A110-E68052DE87D6}" name="SI"/>
    <tableColumn id="4" xr3:uid="{A9ED9E82-8DAA-4C66-B330-FA827F62BC14}" name="NO "/>
  </tableColumns>
  <tableStyleInfo name="MODELO LISTA DE COMPROBACION - -style 3"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EF11D8D-E672-4CF5-A0B9-6DC049C10735}" name="Table_111529" displayName="Table_111529" ref="A7:D16">
  <tableColumns count="4">
    <tableColumn id="1" xr3:uid="{D88E7139-E729-4023-998B-A8947598F4F2}" name="No."/>
    <tableColumn id="2" xr3:uid="{77C263C3-D518-42C8-B24B-33F1DCD3D44E}" name="Pregunta"/>
    <tableColumn id="3" xr3:uid="{3DDBB9A4-C9A3-489E-B014-1ED009F6D0B6}" name="SI"/>
    <tableColumn id="4" xr3:uid="{969ECAA9-C974-4C65-925B-282C59D215D1}" name="NO "/>
  </tableColumns>
  <tableStyleInfo name="MODELO LISTA DE COMPROBACION - -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4720B73-6C58-43DC-86B9-36B43E4CADE0}" name="Table_212630" displayName="Table_212630" ref="A21:D26">
  <tableColumns count="4">
    <tableColumn id="1" xr3:uid="{871C8195-36F4-48FB-82E0-8A447AEC3854}" name="No."/>
    <tableColumn id="2" xr3:uid="{0B190674-04AD-425D-86A8-C82C89682592}" name="Pregunta"/>
    <tableColumn id="3" xr3:uid="{C2130301-17C7-4823-A721-ACCBF3DF5F1F}" name="SI"/>
    <tableColumn id="4" xr3:uid="{35C8E47D-748F-4FB8-AE30-3A62D1872B26}" name="NO "/>
  </tableColumns>
  <tableStyleInfo name="MODELO LISTA DE COMPROBACION - -style 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B439C2B-8941-4978-B453-A658EBF9385E}" name="Table_313731" displayName="Table_313731" ref="A31:D34">
  <tableColumns count="4">
    <tableColumn id="1" xr3:uid="{7B3F713E-7F90-4051-BE7F-391F89F1E70D}" name="No."/>
    <tableColumn id="2" xr3:uid="{C209257F-9712-48CA-955A-467BFCEAC61F}" name="Pregunta"/>
    <tableColumn id="3" xr3:uid="{4CB79AF6-180D-46B1-8DA9-E2A782571686}" name="SI"/>
    <tableColumn id="4" xr3:uid="{F12E954E-0B22-498C-9AAF-021CA869ED3C}" name="NO "/>
  </tableColumns>
  <tableStyleInfo name="MODELO LISTA DE COMPROBACION - -style 3"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EBD141-12E6-4F24-B3FE-723806B0696E}" name="Table_11128" displayName="Table_11128" ref="A7:D16" headerRowDxfId="66" totalsRowDxfId="65">
  <tableColumns count="4">
    <tableColumn id="1" xr3:uid="{58E4938B-265F-49C6-8FD7-3AAA9DC755BD}" name="No." dataDxfId="64"/>
    <tableColumn id="2" xr3:uid="{B61952E8-B0CE-4753-987A-9CF068D92B1C}" name="Pregunta" dataDxfId="63"/>
    <tableColumn id="3" xr3:uid="{941C2350-9F9A-45A3-B278-D9BDDD01C081}" name="SI" dataDxfId="62"/>
    <tableColumn id="4" xr3:uid="{D20D44C6-2E64-4BE2-86EE-7B472F87D9B3}" name="NO " dataDxfId="61"/>
  </tableColumns>
  <tableStyleInfo name="MODELO LISTA DE COMPROBACION - -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EC1338-89E1-47BD-9C5E-946E7EBE2259}" name="Table_21239" displayName="Table_21239" ref="A21:D26" headerRowDxfId="60" totalsRowDxfId="59">
  <tableColumns count="4">
    <tableColumn id="1" xr3:uid="{396A2F41-E91F-4B2E-A8CC-F01996B566C0}" name="No." dataDxfId="58"/>
    <tableColumn id="2" xr3:uid="{70C8E0C2-6BF4-4B25-B26F-988BA8D0CE85}" name="Pregunta" dataDxfId="57"/>
    <tableColumn id="3" xr3:uid="{36A92289-03FA-436F-9752-38D4B22F3AF3}" name="SI" dataDxfId="56"/>
    <tableColumn id="4" xr3:uid="{0BD7A78C-316D-4100-98B5-B25DE1C2C5D0}" name="NO " dataDxfId="55"/>
  </tableColumns>
  <tableStyleInfo name="MODELO LISTA DE COMPROBACION - -style 2"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65C569-F2E5-4C1D-A23D-AA11B386672C}" name="Table_313410" displayName="Table_313410" ref="A31:D34" headerRowDxfId="54" dataDxfId="53" totalsRowDxfId="52">
  <tableColumns count="4">
    <tableColumn id="1" xr3:uid="{D468EE44-8E7D-4BA9-8C85-569F94802B43}" name="No." dataDxfId="51"/>
    <tableColumn id="2" xr3:uid="{2C40A7D1-FE42-4983-85B4-321D1130EA54}" name="Pregunta" dataDxfId="50"/>
    <tableColumn id="3" xr3:uid="{823A09CF-AB4A-47DA-BD53-F2B0DB9F73BF}" name="SI" dataDxfId="49"/>
    <tableColumn id="4" xr3:uid="{E1BA6625-223A-4726-91C7-3F87F2965308}" name="NO " dataDxfId="48"/>
  </tableColumns>
  <tableStyleInfo name="MODELO LISTA DE COMPROBACION - -style 3"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8802D13-54A5-449F-94A6-CCBD1B668A33}" name="Table_111217" displayName="Table_111217" ref="A7:D16" headerRowDxfId="41" totalsRowDxfId="40">
  <tableColumns count="4">
    <tableColumn id="1" xr3:uid="{BB2F2355-0094-46CB-A37B-9B8D2D5653C0}" name="No." dataDxfId="39"/>
    <tableColumn id="2" xr3:uid="{67945F44-D162-4744-B0E7-0C6B0A249895}" name="Pregunta" dataDxfId="38"/>
    <tableColumn id="3" xr3:uid="{A6516D1A-25A8-4F71-980F-1B2D205DC517}" name="SI" dataDxfId="37"/>
    <tableColumn id="4" xr3:uid="{6F18791A-8B08-4FC3-8F38-A5808BDA48D6}" name="NO " dataDxfId="36"/>
  </tableColumns>
  <tableStyleInfo name="MODELO LISTA DE COMPROBACION - -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56A1405-D162-410F-9CA8-CE49F0A30CD2}" name="Table_212318" displayName="Table_212318" ref="A21:D26" headerRowDxfId="35" totalsRowDxfId="34">
  <tableColumns count="4">
    <tableColumn id="1" xr3:uid="{00C2E49C-9CE7-4BA5-A53A-D5958AAA4341}" name="No." dataDxfId="33"/>
    <tableColumn id="2" xr3:uid="{24EFA77E-BDE2-4C20-8D7F-A2B7B9047B27}" name="Pregunta" dataDxfId="32"/>
    <tableColumn id="3" xr3:uid="{2D2620DE-119F-4746-B869-4AAC26528192}" name="SI" dataDxfId="31"/>
    <tableColumn id="4" xr3:uid="{17F4D2C9-1FC0-4BCD-A619-43BB0225EBB7}" name="NO " dataDxfId="30"/>
  </tableColumns>
  <tableStyleInfo name="MODELO LISTA DE COMPROBACION - -style 2"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9F3E2D-1A06-4EA1-9F3A-B4CF4EDBA68A}" name="Table_313419" displayName="Table_313419" ref="A31:D34" headerRowDxfId="29" totalsRowDxfId="28">
  <tableColumns count="4">
    <tableColumn id="1" xr3:uid="{117E58F2-FC27-4AFC-9A41-0533E62A385C}" name="No." dataDxfId="27"/>
    <tableColumn id="2" xr3:uid="{455B117D-C7D7-4E69-A48D-BB457CEB7759}" name="Pregunta" dataDxfId="26"/>
    <tableColumn id="3" xr3:uid="{975590FE-A879-4F95-8455-DF05701D461C}" name="SI" dataDxfId="25"/>
    <tableColumn id="4" xr3:uid="{907EA734-3B00-49F2-8D29-0C2D3D03FAAB}" name="NO " dataDxfId="24"/>
  </tableColumns>
  <tableStyleInfo name="MODELO LISTA DE COMPROBACION - -style 3"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063F9-8488-4EC9-9F66-A7C7A1CE344C}" name="Table_1112" displayName="Table_1112" ref="A7:D16" headerRowDxfId="17" totalsRowDxfId="16">
  <tableColumns count="4">
    <tableColumn id="1" xr3:uid="{2FC50E28-DAAC-456A-BEB6-F5FD7FEB7859}" name="No." dataDxfId="15"/>
    <tableColumn id="2" xr3:uid="{1C0B7172-33B1-42BE-8DC8-37F25528CCB3}" name="Pregunta" dataDxfId="14"/>
    <tableColumn id="3" xr3:uid="{45C9C01B-7188-4A3B-9460-4B362A254255}" name="SI" dataDxfId="13"/>
    <tableColumn id="4" xr3:uid="{9005F3CC-A45E-4355-969D-DE1EB636258D}" name="NO " dataDxfId="12"/>
  </tableColumns>
  <tableStyleInfo name="MODELO LISTA DE COMPROBACION - -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0AAF70-3A5D-4F84-B5DD-AC607FC2A866}" name="Table_2123" displayName="Table_2123" ref="A21:D26" headerRowDxfId="11" totalsRowDxfId="10">
  <tableColumns count="4">
    <tableColumn id="1" xr3:uid="{A07E5731-9B4D-4C09-917A-CA668D38B46A}" name="No." dataDxfId="9"/>
    <tableColumn id="2" xr3:uid="{A4536FF4-6173-4227-B53C-8BD093BCDC35}" name="Pregunta" dataDxfId="8"/>
    <tableColumn id="3" xr3:uid="{A3650C76-C5FC-40E2-BD73-9DB9CBE3B061}" name="SI" dataDxfId="7"/>
    <tableColumn id="4" xr3:uid="{0C72B0FA-7127-405E-9800-C617B05067E2}" name="NO " dataDxfId="6"/>
  </tableColumns>
  <tableStyleInfo name="MODELO LISTA DE COMPROBACION - -style 2"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35C7C-1972-4CCB-A8E1-BC180CA0EA71}" name="Table_3134" displayName="Table_3134" ref="A31:D34" headerRowDxfId="5" totalsRowDxfId="4">
  <tableColumns count="4">
    <tableColumn id="1" xr3:uid="{1D596950-91AE-4176-A5B1-4612F6FD1449}" name="No." dataDxfId="3"/>
    <tableColumn id="2" xr3:uid="{642AB5B5-B1D5-4628-A91B-D28715F15D4E}" name="Pregunta" dataDxfId="2"/>
    <tableColumn id="3" xr3:uid="{F49C59F3-0D41-4AE5-B54F-DD10C105F4F3}" name="SI" dataDxfId="1"/>
    <tableColumn id="4" xr3:uid="{2F5E4C83-4C52-46E7-934D-C2E803C1B917}" name="NO " dataDxfId="0"/>
  </tableColumns>
  <tableStyleInfo name="MODELO LISTA DE COMPROBACION -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5.vml"/><Relationship Id="rId1" Type="http://schemas.openxmlformats.org/officeDocument/2006/relationships/drawing" Target="../drawings/drawing4.xml"/><Relationship Id="rId6" Type="http://schemas.openxmlformats.org/officeDocument/2006/relationships/comments" Target="../comments5.xml"/><Relationship Id="rId5" Type="http://schemas.openxmlformats.org/officeDocument/2006/relationships/table" Target="../tables/table12.xml"/><Relationship Id="rId4"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6.vml"/><Relationship Id="rId1" Type="http://schemas.openxmlformats.org/officeDocument/2006/relationships/drawing" Target="../drawings/drawing5.xml"/><Relationship Id="rId6" Type="http://schemas.openxmlformats.org/officeDocument/2006/relationships/comments" Target="../comments6.xml"/><Relationship Id="rId5" Type="http://schemas.openxmlformats.org/officeDocument/2006/relationships/table" Target="../tables/table15.xml"/><Relationship Id="rId4"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7.vml"/><Relationship Id="rId1" Type="http://schemas.openxmlformats.org/officeDocument/2006/relationships/drawing" Target="../drawings/drawing6.xml"/><Relationship Id="rId6" Type="http://schemas.openxmlformats.org/officeDocument/2006/relationships/comments" Target="../comments7.xml"/><Relationship Id="rId5" Type="http://schemas.openxmlformats.org/officeDocument/2006/relationships/table" Target="../tables/table18.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vmlDrawing" Target="../drawings/vmlDrawing8.vml"/><Relationship Id="rId1" Type="http://schemas.openxmlformats.org/officeDocument/2006/relationships/drawing" Target="../drawings/drawing7.xml"/><Relationship Id="rId6" Type="http://schemas.openxmlformats.org/officeDocument/2006/relationships/comments" Target="../comments8.xml"/><Relationship Id="rId5" Type="http://schemas.openxmlformats.org/officeDocument/2006/relationships/table" Target="../tables/table21.xml"/><Relationship Id="rId4"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9.vml"/><Relationship Id="rId1" Type="http://schemas.openxmlformats.org/officeDocument/2006/relationships/drawing" Target="../drawings/drawing8.xml"/><Relationship Id="rId6" Type="http://schemas.openxmlformats.org/officeDocument/2006/relationships/comments" Target="../comments9.xml"/><Relationship Id="rId5" Type="http://schemas.openxmlformats.org/officeDocument/2006/relationships/table" Target="../tables/table24.xml"/><Relationship Id="rId4"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vmlDrawing" Target="../drawings/vmlDrawing10.vml"/><Relationship Id="rId1" Type="http://schemas.openxmlformats.org/officeDocument/2006/relationships/drawing" Target="../drawings/drawing9.xml"/><Relationship Id="rId6" Type="http://schemas.openxmlformats.org/officeDocument/2006/relationships/comments" Target="../comments10.xml"/><Relationship Id="rId5" Type="http://schemas.openxmlformats.org/officeDocument/2006/relationships/table" Target="../tables/table27.xml"/><Relationship Id="rId4"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vmlDrawing" Target="../drawings/vmlDrawing11.vml"/><Relationship Id="rId1" Type="http://schemas.openxmlformats.org/officeDocument/2006/relationships/drawing" Target="../drawings/drawing10.xml"/><Relationship Id="rId6" Type="http://schemas.openxmlformats.org/officeDocument/2006/relationships/comments" Target="../comments11.xml"/><Relationship Id="rId5" Type="http://schemas.openxmlformats.org/officeDocument/2006/relationships/table" Target="../tables/table30.xml"/><Relationship Id="rId4" Type="http://schemas.openxmlformats.org/officeDocument/2006/relationships/table" Target="../tables/table2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vmlDrawing" Target="../drawings/vmlDrawing12.vml"/><Relationship Id="rId1" Type="http://schemas.openxmlformats.org/officeDocument/2006/relationships/drawing" Target="../drawings/drawing11.xml"/><Relationship Id="rId6" Type="http://schemas.openxmlformats.org/officeDocument/2006/relationships/comments" Target="../comments12.xml"/><Relationship Id="rId5" Type="http://schemas.openxmlformats.org/officeDocument/2006/relationships/table" Target="../tables/table33.xml"/><Relationship Id="rId4" Type="http://schemas.openxmlformats.org/officeDocument/2006/relationships/table" Target="../tables/table3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13.vml"/><Relationship Id="rId1" Type="http://schemas.openxmlformats.org/officeDocument/2006/relationships/drawing" Target="../drawings/drawing12.xml"/><Relationship Id="rId6" Type="http://schemas.openxmlformats.org/officeDocument/2006/relationships/comments" Target="../comments13.xml"/><Relationship Id="rId5" Type="http://schemas.openxmlformats.org/officeDocument/2006/relationships/table" Target="../tables/table36.xml"/><Relationship Id="rId4"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B1000"/>
  <sheetViews>
    <sheetView showGridLines="0" topLeftCell="A6" workbookViewId="0">
      <selection activeCell="Z7" sqref="Z7:Z8"/>
    </sheetView>
  </sheetViews>
  <sheetFormatPr defaultColWidth="14.42578125" defaultRowHeight="15" customHeight="1"/>
  <cols>
    <col min="1" max="1" width="4.5703125" customWidth="1"/>
    <col min="2" max="2" width="4.42578125" customWidth="1"/>
    <col min="3" max="3" width="3.7109375" customWidth="1"/>
    <col min="4" max="4" width="34.85546875" customWidth="1"/>
    <col min="5" max="5" width="11.28515625" customWidth="1"/>
    <col min="6" max="6" width="46.7109375" customWidth="1"/>
    <col min="7" max="7" width="10.140625" customWidth="1"/>
    <col min="8" max="8" width="42.7109375" customWidth="1"/>
    <col min="9" max="9" width="9.85546875" customWidth="1"/>
    <col min="10" max="10" width="42.28515625" customWidth="1"/>
    <col min="11" max="11" width="9.85546875" customWidth="1"/>
    <col min="12" max="12" width="39.5703125" customWidth="1"/>
    <col min="13" max="13" width="11.42578125" customWidth="1"/>
    <col min="14" max="14" width="39.5703125" customWidth="1"/>
    <col min="15" max="15" width="11.42578125" customWidth="1"/>
    <col min="16" max="16" width="39.5703125" customWidth="1"/>
    <col min="17" max="17" width="11.42578125" customWidth="1"/>
    <col min="18" max="18" width="39.5703125" customWidth="1"/>
    <col min="19" max="19" width="11.42578125" customWidth="1"/>
    <col min="20" max="20" width="39.5703125" customWidth="1"/>
    <col min="21" max="21" width="11.42578125" customWidth="1"/>
    <col min="22" max="22" width="39.5703125" customWidth="1"/>
    <col min="23" max="23" width="11.42578125" customWidth="1"/>
    <col min="24" max="24" width="39.5703125" customWidth="1"/>
    <col min="25" max="25" width="11.42578125" customWidth="1"/>
    <col min="26" max="26" width="39.5703125" customWidth="1"/>
    <col min="27" max="27" width="11.42578125" customWidth="1"/>
    <col min="28" max="28" width="39.5703125" customWidth="1"/>
  </cols>
  <sheetData>
    <row r="1" spans="2:28" ht="14.25" customHeight="1">
      <c r="C1" s="1"/>
    </row>
    <row r="2" spans="2:28" ht="14.25" customHeight="1">
      <c r="C2" s="1"/>
    </row>
    <row r="3" spans="2:28" ht="30" customHeight="1">
      <c r="C3" s="87" t="s">
        <v>0</v>
      </c>
      <c r="D3" s="98"/>
      <c r="E3" s="98"/>
      <c r="F3" s="98"/>
      <c r="G3" s="98"/>
      <c r="H3" s="98"/>
      <c r="I3" s="98"/>
      <c r="J3" s="98"/>
      <c r="K3" s="98"/>
      <c r="L3" s="98"/>
      <c r="V3" s="48"/>
    </row>
    <row r="4" spans="2:28" ht="30" customHeight="1">
      <c r="C4" s="98"/>
      <c r="D4" s="98"/>
      <c r="E4" s="98"/>
      <c r="F4" s="98"/>
      <c r="G4" s="98"/>
      <c r="H4" s="98"/>
      <c r="I4" s="98"/>
      <c r="J4" s="98"/>
      <c r="K4" s="98"/>
      <c r="L4" s="98"/>
    </row>
    <row r="5" spans="2:28" ht="30" customHeight="1">
      <c r="C5" s="2"/>
      <c r="D5" s="3" t="s">
        <v>1</v>
      </c>
      <c r="E5" s="88" t="s">
        <v>2</v>
      </c>
      <c r="F5" s="98"/>
      <c r="G5" s="98"/>
      <c r="H5" s="98"/>
      <c r="I5" s="98"/>
      <c r="J5" s="98"/>
      <c r="K5" s="98"/>
      <c r="L5" s="98"/>
    </row>
    <row r="6" spans="2:28" ht="55.5" customHeight="1">
      <c r="B6" s="93" t="s">
        <v>3</v>
      </c>
      <c r="C6" s="93"/>
      <c r="D6" s="93"/>
      <c r="E6" s="93"/>
      <c r="F6" s="93"/>
      <c r="G6" s="93"/>
      <c r="H6" s="93"/>
      <c r="I6" s="93"/>
      <c r="J6" s="93"/>
      <c r="K6" s="93"/>
      <c r="L6" s="93"/>
      <c r="M6" s="93"/>
      <c r="N6" s="93"/>
      <c r="O6" s="93"/>
      <c r="P6" s="93"/>
      <c r="Q6" s="93"/>
      <c r="R6" s="93"/>
      <c r="S6" s="93"/>
      <c r="T6" s="93"/>
      <c r="U6" s="93"/>
      <c r="V6" s="93"/>
      <c r="W6" s="93"/>
      <c r="X6" s="93"/>
      <c r="Y6" s="93"/>
      <c r="Z6" s="93"/>
    </row>
    <row r="7" spans="2:28" ht="45" customHeight="1">
      <c r="B7" s="89" t="s">
        <v>4</v>
      </c>
      <c r="C7" s="90" t="s">
        <v>5</v>
      </c>
      <c r="D7" s="99"/>
      <c r="E7" s="83" t="s">
        <v>6</v>
      </c>
      <c r="F7" s="91" t="s">
        <v>7</v>
      </c>
      <c r="G7" s="83" t="s">
        <v>6</v>
      </c>
      <c r="H7" s="84" t="s">
        <v>8</v>
      </c>
      <c r="I7" s="83" t="s">
        <v>6</v>
      </c>
      <c r="J7" s="84" t="s">
        <v>9</v>
      </c>
      <c r="K7" s="83" t="s">
        <v>6</v>
      </c>
      <c r="L7" s="84" t="s">
        <v>10</v>
      </c>
      <c r="M7" s="83" t="s">
        <v>6</v>
      </c>
      <c r="N7" s="84" t="s">
        <v>11</v>
      </c>
      <c r="O7" s="83" t="s">
        <v>6</v>
      </c>
      <c r="P7" s="84" t="s">
        <v>12</v>
      </c>
      <c r="Q7" s="83" t="s">
        <v>6</v>
      </c>
      <c r="R7" s="84" t="s">
        <v>13</v>
      </c>
      <c r="S7" s="83" t="s">
        <v>6</v>
      </c>
      <c r="T7" s="84" t="s">
        <v>14</v>
      </c>
      <c r="U7" s="83" t="s">
        <v>6</v>
      </c>
      <c r="V7" s="84" t="s">
        <v>15</v>
      </c>
      <c r="W7" s="83" t="s">
        <v>6</v>
      </c>
      <c r="X7" s="84" t="s">
        <v>16</v>
      </c>
      <c r="Y7" s="83" t="s">
        <v>6</v>
      </c>
      <c r="Z7" s="84" t="s">
        <v>17</v>
      </c>
      <c r="AA7" s="83" t="s">
        <v>6</v>
      </c>
      <c r="AB7" s="84" t="s">
        <v>18</v>
      </c>
    </row>
    <row r="8" spans="2:28" ht="60" customHeight="1">
      <c r="B8" s="100"/>
      <c r="C8" s="101"/>
      <c r="D8" s="102"/>
      <c r="E8" s="100"/>
      <c r="F8" s="92"/>
      <c r="G8" s="100"/>
      <c r="H8" s="85"/>
      <c r="I8" s="100"/>
      <c r="J8" s="85"/>
      <c r="K8" s="100"/>
      <c r="L8" s="85"/>
      <c r="M8" s="100"/>
      <c r="N8" s="85"/>
      <c r="O8" s="100"/>
      <c r="P8" s="85"/>
      <c r="Q8" s="100"/>
      <c r="R8" s="85"/>
      <c r="S8" s="100"/>
      <c r="T8" s="85"/>
      <c r="U8" s="100"/>
      <c r="V8" s="85"/>
      <c r="W8" s="100"/>
      <c r="X8" s="85"/>
      <c r="Y8" s="100"/>
      <c r="Z8" s="85"/>
      <c r="AA8" s="100"/>
      <c r="AB8" s="85"/>
    </row>
    <row r="9" spans="2:28" ht="63.75" customHeight="1">
      <c r="B9" s="4">
        <v>1</v>
      </c>
      <c r="C9" s="86" t="s">
        <v>19</v>
      </c>
      <c r="D9" s="103"/>
      <c r="E9" s="5" t="s">
        <v>20</v>
      </c>
      <c r="F9" s="6" t="s">
        <v>21</v>
      </c>
      <c r="G9" s="38" t="s">
        <v>20</v>
      </c>
      <c r="H9" s="6" t="s">
        <v>22</v>
      </c>
      <c r="I9" s="38" t="s">
        <v>20</v>
      </c>
      <c r="J9" s="6" t="s">
        <v>22</v>
      </c>
      <c r="K9" s="38" t="s">
        <v>20</v>
      </c>
      <c r="L9" s="6" t="s">
        <v>22</v>
      </c>
      <c r="M9" s="38" t="s">
        <v>20</v>
      </c>
      <c r="N9" s="6" t="s">
        <v>23</v>
      </c>
      <c r="O9" s="38" t="s">
        <v>20</v>
      </c>
      <c r="P9" s="6" t="s">
        <v>22</v>
      </c>
      <c r="Q9" s="38" t="s">
        <v>20</v>
      </c>
      <c r="R9" s="6" t="s">
        <v>22</v>
      </c>
      <c r="S9" s="38" t="s">
        <v>20</v>
      </c>
      <c r="T9" s="6" t="s">
        <v>22</v>
      </c>
      <c r="U9" s="38" t="s">
        <v>20</v>
      </c>
      <c r="V9" s="6" t="s">
        <v>24</v>
      </c>
      <c r="W9" s="38" t="s">
        <v>20</v>
      </c>
      <c r="X9" s="6" t="s">
        <v>22</v>
      </c>
      <c r="Y9" s="38" t="s">
        <v>20</v>
      </c>
      <c r="Z9" s="6" t="s">
        <v>22</v>
      </c>
      <c r="AA9" s="38" t="s">
        <v>20</v>
      </c>
      <c r="AB9" s="6" t="s">
        <v>22</v>
      </c>
    </row>
    <row r="10" spans="2:28" ht="52.5" customHeight="1">
      <c r="B10" s="4">
        <v>2</v>
      </c>
      <c r="C10" s="86" t="s">
        <v>25</v>
      </c>
      <c r="D10" s="103"/>
      <c r="E10" s="5" t="s">
        <v>20</v>
      </c>
      <c r="F10" s="8" t="s">
        <v>26</v>
      </c>
      <c r="G10" s="38" t="s">
        <v>20</v>
      </c>
      <c r="H10" s="40" t="s">
        <v>26</v>
      </c>
      <c r="I10" s="38" t="s">
        <v>20</v>
      </c>
      <c r="J10" s="40" t="s">
        <v>27</v>
      </c>
      <c r="K10" s="38" t="s">
        <v>20</v>
      </c>
      <c r="L10" s="8" t="s">
        <v>28</v>
      </c>
      <c r="M10" s="38" t="s">
        <v>20</v>
      </c>
      <c r="N10" s="49" t="s">
        <v>29</v>
      </c>
      <c r="O10" s="38" t="s">
        <v>20</v>
      </c>
      <c r="P10" s="8" t="s">
        <v>30</v>
      </c>
      <c r="Q10" s="38" t="s">
        <v>20</v>
      </c>
      <c r="R10" s="49" t="s">
        <v>31</v>
      </c>
      <c r="S10" s="38" t="s">
        <v>20</v>
      </c>
      <c r="T10" s="8" t="s">
        <v>28</v>
      </c>
      <c r="U10" s="38" t="s">
        <v>20</v>
      </c>
      <c r="V10" s="8" t="s">
        <v>32</v>
      </c>
      <c r="W10" s="38" t="s">
        <v>20</v>
      </c>
      <c r="X10" s="8" t="s">
        <v>33</v>
      </c>
      <c r="Y10" s="38" t="s">
        <v>20</v>
      </c>
      <c r="Z10" s="8" t="s">
        <v>34</v>
      </c>
      <c r="AA10" s="38" t="s">
        <v>20</v>
      </c>
      <c r="AB10" s="8" t="s">
        <v>35</v>
      </c>
    </row>
    <row r="11" spans="2:28" ht="189" customHeight="1">
      <c r="B11" s="4">
        <v>3</v>
      </c>
      <c r="C11" s="86" t="s">
        <v>36</v>
      </c>
      <c r="D11" s="103"/>
      <c r="E11" s="5" t="s">
        <v>20</v>
      </c>
      <c r="F11" s="8" t="s">
        <v>37</v>
      </c>
      <c r="G11" s="39" t="s">
        <v>38</v>
      </c>
      <c r="H11" s="46" t="s">
        <v>39</v>
      </c>
      <c r="I11" s="5" t="s">
        <v>20</v>
      </c>
      <c r="J11" s="8" t="s">
        <v>37</v>
      </c>
      <c r="K11" s="42" t="s">
        <v>38</v>
      </c>
      <c r="L11" s="8" t="s">
        <v>40</v>
      </c>
      <c r="M11" s="38" t="s">
        <v>20</v>
      </c>
      <c r="N11" s="49" t="s">
        <v>41</v>
      </c>
      <c r="O11" s="42" t="s">
        <v>38</v>
      </c>
      <c r="P11" s="8" t="s">
        <v>42</v>
      </c>
      <c r="Q11" s="38" t="s">
        <v>20</v>
      </c>
      <c r="R11" s="49" t="s">
        <v>43</v>
      </c>
      <c r="S11" s="42" t="s">
        <v>38</v>
      </c>
      <c r="T11" s="8" t="s">
        <v>44</v>
      </c>
      <c r="U11" s="38" t="s">
        <v>20</v>
      </c>
      <c r="V11" s="8" t="s">
        <v>45</v>
      </c>
      <c r="W11" s="38" t="s">
        <v>20</v>
      </c>
      <c r="X11" s="8" t="s">
        <v>46</v>
      </c>
      <c r="Y11" s="38" t="s">
        <v>20</v>
      </c>
      <c r="Z11" s="8" t="s">
        <v>47</v>
      </c>
      <c r="AA11" s="38" t="s">
        <v>20</v>
      </c>
      <c r="AB11" s="8" t="s">
        <v>48</v>
      </c>
    </row>
    <row r="12" spans="2:28" ht="63.75" customHeight="1">
      <c r="B12" s="4">
        <v>4</v>
      </c>
      <c r="C12" s="86" t="s">
        <v>49</v>
      </c>
      <c r="D12" s="103"/>
      <c r="E12" s="5" t="s">
        <v>20</v>
      </c>
      <c r="F12" s="9" t="s">
        <v>50</v>
      </c>
      <c r="G12" s="38" t="s">
        <v>20</v>
      </c>
      <c r="H12" s="40" t="s">
        <v>51</v>
      </c>
      <c r="I12" s="38" t="s">
        <v>20</v>
      </c>
      <c r="J12" s="9" t="s">
        <v>50</v>
      </c>
      <c r="K12" s="38" t="s">
        <v>20</v>
      </c>
      <c r="L12" s="9" t="s">
        <v>50</v>
      </c>
      <c r="M12" s="38" t="s">
        <v>20</v>
      </c>
      <c r="N12" s="6" t="s">
        <v>52</v>
      </c>
      <c r="O12" s="38" t="s">
        <v>20</v>
      </c>
      <c r="P12" s="9" t="s">
        <v>42</v>
      </c>
      <c r="Q12" s="38" t="s">
        <v>20</v>
      </c>
      <c r="R12" s="6" t="s">
        <v>53</v>
      </c>
      <c r="S12" s="38" t="s">
        <v>20</v>
      </c>
      <c r="T12" s="9" t="s">
        <v>54</v>
      </c>
      <c r="U12" s="38" t="s">
        <v>20</v>
      </c>
      <c r="V12" s="9" t="s">
        <v>55</v>
      </c>
      <c r="W12" s="38" t="s">
        <v>20</v>
      </c>
      <c r="X12" s="9" t="s">
        <v>56</v>
      </c>
      <c r="Y12" s="38" t="s">
        <v>20</v>
      </c>
      <c r="Z12" s="9" t="s">
        <v>50</v>
      </c>
      <c r="AA12" s="38" t="s">
        <v>20</v>
      </c>
      <c r="AB12" s="9" t="s">
        <v>57</v>
      </c>
    </row>
    <row r="13" spans="2:28" ht="65.25" customHeight="1">
      <c r="B13" s="4">
        <v>5</v>
      </c>
      <c r="C13" s="86" t="s">
        <v>58</v>
      </c>
      <c r="D13" s="103"/>
      <c r="E13" s="5" t="s">
        <v>20</v>
      </c>
      <c r="F13" s="9" t="s">
        <v>59</v>
      </c>
      <c r="G13" s="38" t="s">
        <v>20</v>
      </c>
      <c r="H13" s="40" t="s">
        <v>59</v>
      </c>
      <c r="I13" s="38" t="s">
        <v>20</v>
      </c>
      <c r="J13" s="9" t="s">
        <v>59</v>
      </c>
      <c r="K13" s="38" t="s">
        <v>20</v>
      </c>
      <c r="L13" s="9" t="s">
        <v>60</v>
      </c>
      <c r="M13" s="38" t="s">
        <v>20</v>
      </c>
      <c r="N13" s="6" t="s">
        <v>61</v>
      </c>
      <c r="O13" s="38" t="s">
        <v>20</v>
      </c>
      <c r="P13" s="9" t="s">
        <v>62</v>
      </c>
      <c r="Q13" s="38" t="s">
        <v>20</v>
      </c>
      <c r="R13" s="6" t="s">
        <v>63</v>
      </c>
      <c r="S13" s="38" t="s">
        <v>20</v>
      </c>
      <c r="T13" s="9" t="s">
        <v>64</v>
      </c>
      <c r="U13" s="38" t="s">
        <v>20</v>
      </c>
      <c r="V13" s="9" t="s">
        <v>65</v>
      </c>
      <c r="W13" s="38" t="s">
        <v>20</v>
      </c>
      <c r="X13" s="9" t="s">
        <v>66</v>
      </c>
      <c r="Y13" s="38" t="s">
        <v>20</v>
      </c>
      <c r="Z13" s="9" t="s">
        <v>67</v>
      </c>
      <c r="AA13" s="38" t="s">
        <v>20</v>
      </c>
      <c r="AB13" s="9" t="s">
        <v>68</v>
      </c>
    </row>
    <row r="14" spans="2:28" ht="52.5" customHeight="1">
      <c r="B14" s="4">
        <v>6</v>
      </c>
      <c r="C14" s="86" t="s">
        <v>69</v>
      </c>
      <c r="D14" s="103"/>
      <c r="E14" s="5" t="s">
        <v>20</v>
      </c>
      <c r="F14" s="9" t="s">
        <v>70</v>
      </c>
      <c r="G14" s="38" t="s">
        <v>20</v>
      </c>
      <c r="H14" s="40" t="s">
        <v>71</v>
      </c>
      <c r="I14" s="38" t="s">
        <v>20</v>
      </c>
      <c r="J14" s="9" t="s">
        <v>70</v>
      </c>
      <c r="K14" s="42" t="s">
        <v>38</v>
      </c>
      <c r="L14" s="9" t="s">
        <v>72</v>
      </c>
      <c r="M14" s="38" t="s">
        <v>20</v>
      </c>
      <c r="N14" s="6" t="s">
        <v>73</v>
      </c>
      <c r="O14" s="42" t="s">
        <v>38</v>
      </c>
      <c r="P14" s="9" t="s">
        <v>74</v>
      </c>
      <c r="Q14" s="38" t="s">
        <v>20</v>
      </c>
      <c r="R14" s="6" t="s">
        <v>75</v>
      </c>
      <c r="S14" s="38" t="s">
        <v>20</v>
      </c>
      <c r="T14" s="9" t="s">
        <v>76</v>
      </c>
      <c r="U14" s="42" t="s">
        <v>38</v>
      </c>
      <c r="V14" s="9" t="s">
        <v>77</v>
      </c>
      <c r="W14" s="38" t="s">
        <v>20</v>
      </c>
      <c r="X14" s="9" t="s">
        <v>78</v>
      </c>
      <c r="Y14" s="42" t="s">
        <v>38</v>
      </c>
      <c r="Z14" s="9" t="s">
        <v>79</v>
      </c>
      <c r="AA14" s="38" t="s">
        <v>20</v>
      </c>
      <c r="AB14" s="9" t="s">
        <v>80</v>
      </c>
    </row>
    <row r="15" spans="2:28" ht="52.5" customHeight="1">
      <c r="B15" s="4">
        <v>7</v>
      </c>
      <c r="C15" s="86" t="s">
        <v>81</v>
      </c>
      <c r="D15" s="103"/>
      <c r="E15" s="10" t="s">
        <v>38</v>
      </c>
      <c r="F15" s="9" t="s">
        <v>82</v>
      </c>
      <c r="G15" s="39" t="s">
        <v>38</v>
      </c>
      <c r="H15" s="40" t="s">
        <v>83</v>
      </c>
      <c r="I15" s="42" t="s">
        <v>38</v>
      </c>
      <c r="J15" s="9" t="s">
        <v>84</v>
      </c>
      <c r="K15" s="42" t="s">
        <v>38</v>
      </c>
      <c r="L15" s="9" t="s">
        <v>85</v>
      </c>
      <c r="M15" s="42" t="s">
        <v>38</v>
      </c>
      <c r="N15" s="6" t="s">
        <v>86</v>
      </c>
      <c r="O15" s="42" t="s">
        <v>38</v>
      </c>
      <c r="P15" s="9" t="s">
        <v>85</v>
      </c>
      <c r="Q15" s="42" t="s">
        <v>38</v>
      </c>
      <c r="R15" s="6" t="s">
        <v>87</v>
      </c>
      <c r="S15" s="42" t="s">
        <v>38</v>
      </c>
      <c r="T15" s="9" t="s">
        <v>88</v>
      </c>
      <c r="U15" s="42" t="s">
        <v>38</v>
      </c>
      <c r="V15" s="9" t="s">
        <v>89</v>
      </c>
      <c r="W15" s="42" t="s">
        <v>38</v>
      </c>
      <c r="X15" s="9" t="s">
        <v>90</v>
      </c>
      <c r="Y15" s="42" t="s">
        <v>38</v>
      </c>
      <c r="Z15" s="9" t="s">
        <v>91</v>
      </c>
      <c r="AA15" s="42" t="s">
        <v>38</v>
      </c>
      <c r="AB15" s="9" t="s">
        <v>92</v>
      </c>
    </row>
    <row r="16" spans="2:28" ht="64.5">
      <c r="B16" s="4">
        <v>8</v>
      </c>
      <c r="C16" s="86" t="s">
        <v>93</v>
      </c>
      <c r="D16" s="103"/>
      <c r="E16" s="10" t="s">
        <v>38</v>
      </c>
      <c r="F16" s="9" t="s">
        <v>94</v>
      </c>
      <c r="G16" s="39" t="s">
        <v>38</v>
      </c>
      <c r="H16" s="40" t="s">
        <v>95</v>
      </c>
      <c r="I16" s="42" t="s">
        <v>38</v>
      </c>
      <c r="J16" s="40" t="s">
        <v>95</v>
      </c>
      <c r="K16" s="42" t="s">
        <v>38</v>
      </c>
      <c r="L16" s="40" t="s">
        <v>95</v>
      </c>
      <c r="M16" s="42" t="s">
        <v>38</v>
      </c>
      <c r="N16" s="40" t="s">
        <v>95</v>
      </c>
      <c r="O16" s="42" t="s">
        <v>38</v>
      </c>
      <c r="P16" s="40" t="s">
        <v>95</v>
      </c>
      <c r="Q16" s="42" t="s">
        <v>38</v>
      </c>
      <c r="R16" s="40" t="s">
        <v>95</v>
      </c>
      <c r="S16" s="42" t="s">
        <v>38</v>
      </c>
      <c r="T16" s="40" t="s">
        <v>95</v>
      </c>
      <c r="U16" s="42" t="s">
        <v>38</v>
      </c>
      <c r="V16" s="40" t="s">
        <v>95</v>
      </c>
      <c r="W16" s="42" t="s">
        <v>38</v>
      </c>
      <c r="X16" s="40" t="s">
        <v>95</v>
      </c>
      <c r="Y16" s="42" t="s">
        <v>38</v>
      </c>
      <c r="Z16" s="40" t="s">
        <v>95</v>
      </c>
      <c r="AA16" s="42" t="s">
        <v>38</v>
      </c>
      <c r="AB16" s="40" t="s">
        <v>95</v>
      </c>
    </row>
    <row r="17" spans="2:28" ht="34.5" customHeight="1">
      <c r="B17" s="4">
        <v>9</v>
      </c>
      <c r="C17" s="86" t="s">
        <v>96</v>
      </c>
      <c r="D17" s="103"/>
      <c r="E17" s="39" t="s">
        <v>38</v>
      </c>
      <c r="F17" s="41" t="s">
        <v>97</v>
      </c>
      <c r="G17" s="39" t="s">
        <v>38</v>
      </c>
      <c r="H17" s="41" t="s">
        <v>97</v>
      </c>
      <c r="I17" s="42" t="s">
        <v>38</v>
      </c>
      <c r="J17" s="41" t="s">
        <v>97</v>
      </c>
      <c r="K17" s="42" t="s">
        <v>38</v>
      </c>
      <c r="L17" s="41" t="s">
        <v>97</v>
      </c>
      <c r="M17" s="42" t="s">
        <v>38</v>
      </c>
      <c r="N17" s="41" t="s">
        <v>97</v>
      </c>
      <c r="O17" s="42" t="s">
        <v>38</v>
      </c>
      <c r="P17" s="41" t="s">
        <v>97</v>
      </c>
      <c r="Q17" s="42" t="s">
        <v>38</v>
      </c>
      <c r="R17" s="41" t="s">
        <v>98</v>
      </c>
      <c r="S17" s="42" t="s">
        <v>38</v>
      </c>
      <c r="T17" s="41" t="s">
        <v>97</v>
      </c>
      <c r="U17" s="42" t="s">
        <v>38</v>
      </c>
      <c r="V17" s="41" t="s">
        <v>99</v>
      </c>
      <c r="W17" s="42" t="s">
        <v>38</v>
      </c>
      <c r="X17" s="41" t="s">
        <v>100</v>
      </c>
      <c r="Y17" s="42" t="s">
        <v>38</v>
      </c>
      <c r="Z17" s="41" t="s">
        <v>97</v>
      </c>
      <c r="AA17" s="42" t="s">
        <v>38</v>
      </c>
      <c r="AB17" s="41" t="s">
        <v>101</v>
      </c>
    </row>
    <row r="18" spans="2:28" ht="87" customHeight="1">
      <c r="B18" s="4">
        <v>10</v>
      </c>
      <c r="C18" s="86" t="s">
        <v>102</v>
      </c>
      <c r="D18" s="103"/>
      <c r="E18" s="5" t="s">
        <v>20</v>
      </c>
      <c r="F18" s="9" t="s">
        <v>103</v>
      </c>
      <c r="G18" s="38" t="s">
        <v>20</v>
      </c>
      <c r="H18" s="40" t="s">
        <v>104</v>
      </c>
      <c r="I18" s="38" t="s">
        <v>20</v>
      </c>
      <c r="J18" s="9" t="s">
        <v>105</v>
      </c>
      <c r="K18" s="38" t="s">
        <v>20</v>
      </c>
      <c r="L18" s="9" t="s">
        <v>106</v>
      </c>
      <c r="M18" s="42" t="s">
        <v>38</v>
      </c>
      <c r="N18" s="6" t="s">
        <v>107</v>
      </c>
      <c r="O18" s="42" t="s">
        <v>38</v>
      </c>
      <c r="P18" s="9" t="s">
        <v>108</v>
      </c>
      <c r="Q18" s="42" t="s">
        <v>38</v>
      </c>
      <c r="R18" s="6" t="s">
        <v>109</v>
      </c>
      <c r="S18" s="42" t="s">
        <v>38</v>
      </c>
      <c r="T18" s="9" t="s">
        <v>110</v>
      </c>
      <c r="U18" s="42" t="s">
        <v>38</v>
      </c>
      <c r="V18" s="9" t="s">
        <v>111</v>
      </c>
      <c r="W18" s="42" t="s">
        <v>38</v>
      </c>
      <c r="X18" s="9" t="s">
        <v>112</v>
      </c>
      <c r="Y18" s="42" t="s">
        <v>38</v>
      </c>
      <c r="Z18" s="9" t="s">
        <v>113</v>
      </c>
      <c r="AA18" s="42" t="s">
        <v>38</v>
      </c>
      <c r="AB18" s="9" t="s">
        <v>114</v>
      </c>
    </row>
    <row r="19" spans="2:28" ht="52.5" customHeight="1">
      <c r="B19" s="4">
        <v>11</v>
      </c>
      <c r="C19" s="86" t="s">
        <v>115</v>
      </c>
      <c r="D19" s="103"/>
      <c r="E19" s="5" t="s">
        <v>20</v>
      </c>
      <c r="F19" s="9" t="s">
        <v>116</v>
      </c>
      <c r="G19" s="38" t="s">
        <v>20</v>
      </c>
      <c r="H19" s="40" t="s">
        <v>117</v>
      </c>
      <c r="I19" s="38" t="s">
        <v>20</v>
      </c>
      <c r="J19" s="9" t="s">
        <v>116</v>
      </c>
      <c r="K19" s="38" t="s">
        <v>20</v>
      </c>
      <c r="L19" s="9" t="s">
        <v>118</v>
      </c>
      <c r="M19" s="38" t="s">
        <v>20</v>
      </c>
      <c r="N19" s="6" t="s">
        <v>119</v>
      </c>
      <c r="O19" s="38" t="s">
        <v>20</v>
      </c>
      <c r="P19" s="9" t="s">
        <v>120</v>
      </c>
      <c r="Q19" s="38" t="s">
        <v>20</v>
      </c>
      <c r="R19" s="6" t="s">
        <v>119</v>
      </c>
      <c r="S19" s="38" t="s">
        <v>20</v>
      </c>
      <c r="T19" s="9" t="s">
        <v>118</v>
      </c>
      <c r="U19" s="42" t="s">
        <v>38</v>
      </c>
      <c r="V19" s="9" t="s">
        <v>121</v>
      </c>
      <c r="W19" s="42" t="s">
        <v>38</v>
      </c>
      <c r="X19" s="9" t="s">
        <v>122</v>
      </c>
      <c r="Y19" s="42" t="s">
        <v>38</v>
      </c>
      <c r="Z19" s="9" t="s">
        <v>123</v>
      </c>
      <c r="AA19" s="42" t="s">
        <v>38</v>
      </c>
      <c r="AB19" s="9" t="s">
        <v>124</v>
      </c>
    </row>
    <row r="20" spans="2:28" ht="14.25" customHeight="1">
      <c r="C20" s="1"/>
    </row>
    <row r="21" spans="2:28" ht="14.25" customHeight="1">
      <c r="C21" s="1"/>
    </row>
    <row r="22" spans="2:28" ht="14.25" customHeight="1">
      <c r="C22" s="1"/>
    </row>
    <row r="23" spans="2:28" ht="14.25" customHeight="1">
      <c r="C23" s="1"/>
    </row>
    <row r="24" spans="2:28" ht="14.25" customHeight="1">
      <c r="C24" s="1"/>
    </row>
    <row r="25" spans="2:28" ht="14.25" customHeight="1">
      <c r="C25" s="1"/>
    </row>
    <row r="26" spans="2:28" ht="14.25" customHeight="1">
      <c r="C26" s="1"/>
    </row>
    <row r="27" spans="2:28" ht="14.25" customHeight="1">
      <c r="C27" s="1"/>
    </row>
    <row r="28" spans="2:28" ht="14.25" customHeight="1">
      <c r="C28" s="1"/>
    </row>
    <row r="29" spans="2:28" ht="14.25" customHeight="1">
      <c r="C29" s="1"/>
    </row>
    <row r="30" spans="2:28" ht="14.25" customHeight="1">
      <c r="C30" s="1"/>
    </row>
    <row r="31" spans="2:28" ht="14.25" customHeight="1">
      <c r="C31" s="1"/>
    </row>
    <row r="32" spans="2:28"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sheetData>
  <mergeCells count="40">
    <mergeCell ref="C3:L4"/>
    <mergeCell ref="E5:L5"/>
    <mergeCell ref="B7:B8"/>
    <mergeCell ref="C7:D8"/>
    <mergeCell ref="E7:E8"/>
    <mergeCell ref="F7:F8"/>
    <mergeCell ref="B6:Z6"/>
    <mergeCell ref="G7:G8"/>
    <mergeCell ref="H7:H8"/>
    <mergeCell ref="I7:I8"/>
    <mergeCell ref="L7:L8"/>
    <mergeCell ref="J7:J8"/>
    <mergeCell ref="K7:K8"/>
    <mergeCell ref="C16:D16"/>
    <mergeCell ref="C17:D17"/>
    <mergeCell ref="C18:D18"/>
    <mergeCell ref="C19:D19"/>
    <mergeCell ref="C9:D9"/>
    <mergeCell ref="C10:D10"/>
    <mergeCell ref="C11:D11"/>
    <mergeCell ref="C12:D12"/>
    <mergeCell ref="C13:D13"/>
    <mergeCell ref="C14:D14"/>
    <mergeCell ref="C15:D15"/>
    <mergeCell ref="AA7:AA8"/>
    <mergeCell ref="AB7:AB8"/>
    <mergeCell ref="M7:M8"/>
    <mergeCell ref="N7:N8"/>
    <mergeCell ref="Q7:Q8"/>
    <mergeCell ref="R7:R8"/>
    <mergeCell ref="W7:W8"/>
    <mergeCell ref="X7:X8"/>
    <mergeCell ref="Y7:Y8"/>
    <mergeCell ref="Z7:Z8"/>
    <mergeCell ref="U7:U8"/>
    <mergeCell ref="V7:V8"/>
    <mergeCell ref="O7:O8"/>
    <mergeCell ref="P7:P8"/>
    <mergeCell ref="S7:S8"/>
    <mergeCell ref="T7:T8"/>
  </mergeCells>
  <printOptions horizontalCentered="1" verticalCentered="1"/>
  <pageMargins left="0.47"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DC78-5194-45A7-8C55-1F44B7784887}">
  <dimension ref="A1:Z1000"/>
  <sheetViews>
    <sheetView workbookViewId="0"/>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128</v>
      </c>
      <c r="D3" s="98"/>
    </row>
    <row r="4" spans="1:26" ht="14.25" customHeight="1">
      <c r="B4" s="13" t="s">
        <v>129</v>
      </c>
      <c r="C4" s="82" t="s">
        <v>7</v>
      </c>
      <c r="D4" s="98"/>
    </row>
    <row r="5" spans="1:26" ht="14.25" customHeight="1"/>
    <row r="6" spans="1:26" ht="14.25" customHeight="1">
      <c r="A6" s="79" t="s">
        <v>130</v>
      </c>
      <c r="B6" s="98"/>
      <c r="C6" s="98"/>
      <c r="D6" s="98"/>
    </row>
    <row r="7" spans="1:26" ht="15" customHeight="1">
      <c r="A7" s="14" t="s">
        <v>131</v>
      </c>
      <c r="B7" s="15" t="s">
        <v>132</v>
      </c>
      <c r="C7" s="15" t="s">
        <v>133</v>
      </c>
      <c r="D7" s="16" t="s">
        <v>134</v>
      </c>
    </row>
    <row r="8" spans="1:26" ht="14.25" customHeight="1">
      <c r="A8" s="32">
        <v>1</v>
      </c>
      <c r="B8" s="17" t="s">
        <v>135</v>
      </c>
      <c r="D8" s="18" t="s">
        <v>136</v>
      </c>
    </row>
    <row r="9" spans="1:26" ht="14.25" customHeight="1">
      <c r="A9" s="32">
        <v>2</v>
      </c>
      <c r="B9" s="17" t="s">
        <v>137</v>
      </c>
      <c r="C9" s="18"/>
      <c r="D9" s="33" t="s">
        <v>136</v>
      </c>
    </row>
    <row r="10" spans="1:26" ht="14.25" customHeight="1">
      <c r="A10" s="32">
        <v>3</v>
      </c>
      <c r="B10" s="17" t="s">
        <v>138</v>
      </c>
      <c r="C10" s="18" t="s">
        <v>136</v>
      </c>
      <c r="D10" s="33"/>
    </row>
    <row r="11" spans="1:26" ht="14.25" customHeight="1">
      <c r="A11" s="32">
        <v>4</v>
      </c>
      <c r="B11" s="17" t="s">
        <v>139</v>
      </c>
      <c r="C11" s="18" t="s">
        <v>136</v>
      </c>
      <c r="D11" s="33"/>
    </row>
    <row r="12" spans="1:26" ht="14.25" customHeight="1">
      <c r="A12" s="32">
        <v>5</v>
      </c>
      <c r="B12" s="17" t="s">
        <v>140</v>
      </c>
      <c r="C12" s="18" t="s">
        <v>136</v>
      </c>
      <c r="D12" s="33"/>
    </row>
    <row r="13" spans="1:26" ht="14.25" customHeight="1">
      <c r="A13" s="32">
        <v>6</v>
      </c>
      <c r="B13" s="17" t="s">
        <v>141</v>
      </c>
      <c r="C13" s="18" t="s">
        <v>136</v>
      </c>
      <c r="D13" s="33"/>
    </row>
    <row r="14" spans="1:26" ht="14.25" customHeight="1">
      <c r="A14" s="32">
        <v>7</v>
      </c>
      <c r="B14" s="17" t="s">
        <v>142</v>
      </c>
      <c r="C14" s="18"/>
      <c r="D14" s="33" t="s">
        <v>136</v>
      </c>
    </row>
    <row r="15" spans="1:26" ht="14.25" customHeight="1">
      <c r="A15" s="32">
        <v>8</v>
      </c>
      <c r="B15" s="17" t="s">
        <v>143</v>
      </c>
      <c r="C15" s="18" t="s">
        <v>136</v>
      </c>
      <c r="D15" s="33"/>
    </row>
    <row r="16" spans="1:26" ht="14.25" customHeight="1">
      <c r="A16" s="19">
        <v>9</v>
      </c>
      <c r="B16" s="20" t="s">
        <v>144</v>
      </c>
      <c r="C16" s="21"/>
      <c r="D16" s="21" t="s">
        <v>136</v>
      </c>
    </row>
    <row r="17" spans="1:4" ht="14.25" customHeight="1">
      <c r="A17" s="76" t="s">
        <v>145</v>
      </c>
      <c r="B17" s="98"/>
      <c r="C17" s="23">
        <f>COUNTA('MODELO LISTA DE COMPROBACIO CU1'!$C$8:$C$16)</f>
        <v>5</v>
      </c>
      <c r="D17" s="23">
        <f>COUNTA('MODELO LISTA DE COMPROBACIO CU1'!$D$8:$D$16)</f>
        <v>4</v>
      </c>
    </row>
    <row r="18" spans="1:4" ht="14.25" customHeight="1">
      <c r="A18" s="76" t="s">
        <v>146</v>
      </c>
      <c r="B18" s="98"/>
      <c r="C18" s="24">
        <f t="shared" ref="C18:D18" si="0">C17/9</f>
        <v>0.55555555555555558</v>
      </c>
      <c r="D18" s="24">
        <f t="shared" si="0"/>
        <v>0.44444444444444442</v>
      </c>
    </row>
    <row r="19" spans="1:4" ht="14.25" customHeight="1">
      <c r="A19" s="22"/>
      <c r="B19" s="22"/>
      <c r="C19" s="24"/>
      <c r="D19" s="23"/>
    </row>
    <row r="20" spans="1:4" ht="14.25" customHeight="1">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 CU1'!$C$22:$C$26)</f>
        <v>5</v>
      </c>
      <c r="D27" s="23">
        <f>COUNTA('MODELO LISTA DE COMPROBACIO CU1'!$D$22:$D$26)</f>
        <v>0</v>
      </c>
    </row>
    <row r="28" spans="1:4" ht="14.25" customHeight="1">
      <c r="A28" s="76" t="s">
        <v>146</v>
      </c>
      <c r="B28" s="98"/>
      <c r="C28" s="24">
        <f t="shared" ref="C28:D28" si="1">C27/5</f>
        <v>1</v>
      </c>
      <c r="D28" s="24">
        <f t="shared" si="1"/>
        <v>0</v>
      </c>
    </row>
    <row r="29" spans="1:4" ht="14.25" customHeight="1">
      <c r="A29" s="22"/>
      <c r="B29" s="22"/>
      <c r="C29" s="24"/>
      <c r="D29" s="23"/>
    </row>
    <row r="30" spans="1:4" ht="14.25" customHeight="1">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s="7">
        <f>COUNTA('MODELO LISTA DE COMPROBACIO CU1'!$C$32:$C$34)</f>
        <v>3</v>
      </c>
      <c r="D35" s="7">
        <f>COUNTA('MODELO LISTA DE COMPROBACIO CU1'!$D$32:$D$34)</f>
        <v>0</v>
      </c>
    </row>
    <row r="36" spans="1:4" ht="14.25" customHeight="1">
      <c r="A36" s="76" t="s">
        <v>146</v>
      </c>
      <c r="B36" s="98"/>
      <c r="C36" s="24">
        <f t="shared" ref="C36:D36" si="2">C35/3</f>
        <v>1</v>
      </c>
      <c r="D36" s="24">
        <f t="shared" si="2"/>
        <v>0</v>
      </c>
    </row>
    <row r="37" spans="1:4" ht="14.25" customHeight="1"/>
    <row r="38" spans="1:4" ht="14.25" customHeight="1"/>
    <row r="39" spans="1:4" ht="14.25" customHeight="1"/>
    <row r="40" spans="1:4" ht="14.25" customHeight="1">
      <c r="A40" s="77" t="s">
        <v>157</v>
      </c>
      <c r="B40" s="98"/>
      <c r="C40" s="98"/>
    </row>
    <row r="41" spans="1:4" ht="30" customHeight="1">
      <c r="B41" s="11" t="s">
        <v>158</v>
      </c>
      <c r="C41" s="23">
        <v>56</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42" priority="1" operator="containsText" text="X">
      <formula>NOT(ISERROR(SEARCH(("X"),(A32))))</formula>
    </cfRule>
  </conditionalFormatting>
  <conditionalFormatting sqref="C22:C26 C32:D34 C9:D16 D8">
    <cfRule type="containsText" dxfId="141" priority="2" operator="containsText" text="X">
      <formula>NOT(ISERROR(SEARCH(("X"),(C8))))</formula>
    </cfRule>
  </conditionalFormatting>
  <conditionalFormatting sqref="C22:C26 C32:D34 C9:D16 D8">
    <cfRule type="containsText" dxfId="140" priority="3" operator="containsText" text="X">
      <formula>NOT(ISERROR(SEARCH(("X"),(C8))))</formula>
    </cfRule>
  </conditionalFormatting>
  <conditionalFormatting sqref="C22:C26 C32:D34 C9:D16 D8">
    <cfRule type="containsText" dxfId="139" priority="4" operator="containsText" text="X">
      <formula>NOT(ISERROR(SEARCH(("X"),(C8))))</formula>
    </cfRule>
  </conditionalFormatting>
  <conditionalFormatting sqref="C22:C26 C32:D34 C9:D16 D8">
    <cfRule type="containsText" dxfId="138" priority="5" operator="containsText" text="X">
      <formula>NOT(ISERROR(SEARCH(("X"),(C8))))</formula>
    </cfRule>
  </conditionalFormatting>
  <conditionalFormatting sqref="C22:D26">
    <cfRule type="containsText" dxfId="137" priority="6" operator="containsText" text="X">
      <formula>NOT(ISERROR(SEARCH(("X"),(C22))))</formula>
    </cfRule>
  </conditionalFormatting>
  <conditionalFormatting sqref="C22:D26">
    <cfRule type="containsText" dxfId="136" priority="7" operator="containsText" text="X">
      <formula>NOT(ISERROR(SEARCH(("X"),(C22))))</formula>
    </cfRule>
  </conditionalFormatting>
  <conditionalFormatting sqref="C32:D34">
    <cfRule type="containsText" dxfId="135"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1780-BEFE-4860-AB6A-4CB6DA2BB43F}">
  <dimension ref="A1:Z1000"/>
  <sheetViews>
    <sheetView tabSelected="1" workbookViewId="0">
      <selection activeCell="B34" sqref="B34"/>
    </sheetView>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159</v>
      </c>
      <c r="D3" s="98"/>
    </row>
    <row r="4" spans="1:26" ht="14.25" customHeight="1">
      <c r="B4" s="13" t="s">
        <v>129</v>
      </c>
      <c r="C4" s="82" t="s">
        <v>160</v>
      </c>
      <c r="D4" s="98"/>
    </row>
    <row r="5" spans="1:26" ht="14.25" customHeight="1"/>
    <row r="6" spans="1:26" ht="14.25" customHeight="1">
      <c r="A6" s="79" t="s">
        <v>130</v>
      </c>
      <c r="B6" s="98"/>
      <c r="C6" s="98"/>
      <c r="D6" s="98"/>
    </row>
    <row r="7" spans="1:26" ht="15" customHeight="1">
      <c r="A7" s="14" t="s">
        <v>131</v>
      </c>
      <c r="B7" s="15" t="s">
        <v>132</v>
      </c>
      <c r="C7" s="15" t="s">
        <v>133</v>
      </c>
      <c r="D7" s="16" t="s">
        <v>134</v>
      </c>
    </row>
    <row r="8" spans="1:26" ht="14.25" customHeight="1">
      <c r="A8" s="32">
        <v>1</v>
      </c>
      <c r="B8" s="17" t="s">
        <v>135</v>
      </c>
      <c r="D8" s="18" t="s">
        <v>136</v>
      </c>
    </row>
    <row r="9" spans="1:26" ht="14.25" customHeight="1">
      <c r="A9" s="32">
        <v>2</v>
      </c>
      <c r="B9" s="17" t="s">
        <v>137</v>
      </c>
      <c r="C9" s="18"/>
      <c r="D9" s="33" t="s">
        <v>136</v>
      </c>
    </row>
    <row r="10" spans="1:26" ht="14.25" customHeight="1">
      <c r="A10" s="32">
        <v>3</v>
      </c>
      <c r="B10" s="17" t="s">
        <v>138</v>
      </c>
      <c r="C10" s="18" t="s">
        <v>136</v>
      </c>
      <c r="D10" s="33"/>
    </row>
    <row r="11" spans="1:26" ht="14.25" customHeight="1">
      <c r="A11" s="32">
        <v>4</v>
      </c>
      <c r="B11" s="17" t="s">
        <v>139</v>
      </c>
      <c r="C11" s="18" t="s">
        <v>136</v>
      </c>
      <c r="D11" s="33"/>
    </row>
    <row r="12" spans="1:26" ht="14.25" customHeight="1">
      <c r="A12" s="32">
        <v>5</v>
      </c>
      <c r="B12" s="17" t="s">
        <v>140</v>
      </c>
      <c r="C12" s="18" t="s">
        <v>136</v>
      </c>
      <c r="D12" s="33"/>
    </row>
    <row r="13" spans="1:26" ht="14.25" customHeight="1">
      <c r="A13" s="32">
        <v>6</v>
      </c>
      <c r="B13" s="17" t="s">
        <v>141</v>
      </c>
      <c r="C13" s="18" t="s">
        <v>136</v>
      </c>
      <c r="D13" s="33"/>
    </row>
    <row r="14" spans="1:26" ht="14.25" customHeight="1">
      <c r="A14" s="32">
        <v>7</v>
      </c>
      <c r="B14" s="17" t="s">
        <v>142</v>
      </c>
      <c r="C14" s="18"/>
      <c r="D14" s="33" t="s">
        <v>136</v>
      </c>
    </row>
    <row r="15" spans="1:26" ht="14.25" customHeight="1">
      <c r="A15" s="32">
        <v>8</v>
      </c>
      <c r="B15" s="17" t="s">
        <v>143</v>
      </c>
      <c r="C15" s="18" t="s">
        <v>136</v>
      </c>
      <c r="D15" s="33"/>
    </row>
    <row r="16" spans="1:26" ht="14.25" customHeight="1">
      <c r="A16" s="19">
        <v>9</v>
      </c>
      <c r="B16" s="20" t="s">
        <v>144</v>
      </c>
      <c r="C16" s="21"/>
      <c r="D16" s="21" t="s">
        <v>136</v>
      </c>
    </row>
    <row r="17" spans="1:4" ht="14.25" customHeight="1">
      <c r="A17" s="76" t="s">
        <v>145</v>
      </c>
      <c r="B17" s="98"/>
      <c r="C17" s="23">
        <f>COUNTA('MODELO LISTA DE COMPROBACIO CU2'!$C$8:$C$16)</f>
        <v>5</v>
      </c>
      <c r="D17" s="23">
        <f>COUNTA('MODELO LISTA DE COMPROBACIO CU2'!$D$8:$D$16)</f>
        <v>4</v>
      </c>
    </row>
    <row r="18" spans="1:4" ht="14.25" customHeight="1">
      <c r="A18" s="76" t="s">
        <v>146</v>
      </c>
      <c r="B18" s="98"/>
      <c r="C18" s="24">
        <f t="shared" ref="C18:D18" si="0">C17/9</f>
        <v>0.55555555555555558</v>
      </c>
      <c r="D18" s="24">
        <f t="shared" si="0"/>
        <v>0.44444444444444442</v>
      </c>
    </row>
    <row r="19" spans="1:4" ht="14.25" customHeight="1">
      <c r="A19" s="22"/>
      <c r="B19" s="22"/>
      <c r="C19" s="24"/>
      <c r="D19" s="23"/>
    </row>
    <row r="20" spans="1:4" ht="14.25" customHeight="1">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33"/>
      <c r="D24" s="21" t="s">
        <v>136</v>
      </c>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 CU2'!$C$22:$C$26)</f>
        <v>4</v>
      </c>
      <c r="D27" s="23">
        <f>COUNTA('MODELO LISTA DE COMPROBACIO CU2'!$D$22:$D$26)</f>
        <v>1</v>
      </c>
    </row>
    <row r="28" spans="1:4" ht="14.25" customHeight="1">
      <c r="A28" s="76" t="s">
        <v>146</v>
      </c>
      <c r="B28" s="98"/>
      <c r="C28" s="24">
        <f t="shared" ref="C28:D28" si="1">C27/5</f>
        <v>0.8</v>
      </c>
      <c r="D28" s="24">
        <f t="shared" si="1"/>
        <v>0.2</v>
      </c>
    </row>
    <row r="29" spans="1:4" ht="14.25" customHeight="1">
      <c r="A29" s="22"/>
      <c r="B29" s="22"/>
      <c r="C29" s="24"/>
      <c r="D29" s="23"/>
    </row>
    <row r="30" spans="1:4" ht="14.25" customHeight="1">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s="7">
        <f>COUNTA('MODELO LISTA DE COMPROBACIO CU2'!$C$32:$C$34)</f>
        <v>3</v>
      </c>
      <c r="D35" s="7">
        <f>COUNTA('MODELO LISTA DE COMPROBACIO CU2'!$D$32:$D$34)</f>
        <v>0</v>
      </c>
    </row>
    <row r="36" spans="1:4" ht="14.25" customHeight="1">
      <c r="A36" s="76" t="s">
        <v>146</v>
      </c>
      <c r="B36" s="98"/>
      <c r="C36" s="24">
        <f t="shared" ref="C36:D36" si="2">C35/3</f>
        <v>1</v>
      </c>
      <c r="D36" s="24">
        <f t="shared" si="2"/>
        <v>0</v>
      </c>
    </row>
    <row r="37" spans="1:4" ht="14.25" customHeight="1"/>
    <row r="38" spans="1:4" ht="14.25" customHeight="1"/>
    <row r="39" spans="1:4" ht="14.25" customHeight="1"/>
    <row r="40" spans="1:4" ht="14.25" customHeight="1">
      <c r="A40" s="77" t="s">
        <v>157</v>
      </c>
      <c r="B40" s="98"/>
      <c r="C40" s="98"/>
    </row>
    <row r="41" spans="1:4" ht="30" customHeight="1">
      <c r="B41" s="11" t="s">
        <v>158</v>
      </c>
      <c r="C41" s="23">
        <v>56</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34" priority="1" operator="containsText" text="X">
      <formula>NOT(ISERROR(SEARCH(("X"),(A32))))</formula>
    </cfRule>
  </conditionalFormatting>
  <conditionalFormatting sqref="C32:D34 C9:D16 D8 C22:D26">
    <cfRule type="containsText" dxfId="133" priority="2" operator="containsText" text="X">
      <formula>NOT(ISERROR(SEARCH(("X"),(C8))))</formula>
    </cfRule>
  </conditionalFormatting>
  <conditionalFormatting sqref="C32:D34 C9:D16 D8 C22:D26">
    <cfRule type="containsText" dxfId="132" priority="3" operator="containsText" text="X">
      <formula>NOT(ISERROR(SEARCH(("X"),(C8))))</formula>
    </cfRule>
  </conditionalFormatting>
  <conditionalFormatting sqref="C32:D34 C9:D16 D8 C22:C23 C25:C26 D24">
    <cfRule type="containsText" dxfId="131" priority="4" operator="containsText" text="X">
      <formula>NOT(ISERROR(SEARCH(("X"),(C8))))</formula>
    </cfRule>
  </conditionalFormatting>
  <conditionalFormatting sqref="C32:D34 C9:D16 D8 C22:C23 C25:C26 D24">
    <cfRule type="containsText" dxfId="130" priority="5" operator="containsText" text="X">
      <formula>NOT(ISERROR(SEARCH(("X"),(C8))))</formula>
    </cfRule>
  </conditionalFormatting>
  <conditionalFormatting sqref="C32:D34">
    <cfRule type="containsText" dxfId="129"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BEAC4-FD29-42C5-97CB-06C589202B3D}">
  <dimension ref="A1:U1000"/>
  <sheetViews>
    <sheetView workbookViewId="0">
      <selection activeCell="B25" sqref="B25"/>
    </sheetView>
  </sheetViews>
  <sheetFormatPr defaultColWidth="14.42578125" defaultRowHeight="15" customHeight="1"/>
  <cols>
    <col min="1" max="1" width="10.7109375" customWidth="1"/>
    <col min="2" max="2" width="34.5703125" customWidth="1"/>
    <col min="3" max="3" width="16.140625" customWidth="1"/>
    <col min="4" max="21" width="10.7109375" customWidth="1"/>
  </cols>
  <sheetData>
    <row r="1" spans="1:21" ht="51" customHeight="1">
      <c r="A1" s="11"/>
      <c r="B1" s="12" t="s">
        <v>1</v>
      </c>
      <c r="C1" s="80" t="s">
        <v>161</v>
      </c>
      <c r="D1" s="98"/>
      <c r="E1" s="11"/>
      <c r="F1" s="11"/>
      <c r="G1" s="11"/>
      <c r="H1" s="11"/>
      <c r="I1" s="11"/>
      <c r="J1" s="11"/>
      <c r="K1" s="11"/>
      <c r="L1" s="11"/>
      <c r="M1" s="11"/>
      <c r="N1" s="11"/>
      <c r="O1" s="11"/>
      <c r="P1" s="11"/>
      <c r="Q1" s="11"/>
      <c r="R1" s="11"/>
      <c r="S1" s="11"/>
      <c r="T1" s="11"/>
      <c r="U1" s="11"/>
    </row>
    <row r="2" spans="1:21" ht="14.25" customHeight="1">
      <c r="B2" s="13" t="s">
        <v>126</v>
      </c>
      <c r="C2" s="81">
        <v>46297</v>
      </c>
      <c r="D2" s="98"/>
    </row>
    <row r="3" spans="1:21" ht="14.25" customHeight="1">
      <c r="B3" s="13" t="s">
        <v>127</v>
      </c>
      <c r="C3" s="82" t="s">
        <v>162</v>
      </c>
      <c r="D3" s="98"/>
    </row>
    <row r="4" spans="1:21" ht="14.25" customHeight="1">
      <c r="B4" s="13" t="s">
        <v>129</v>
      </c>
      <c r="C4" s="82" t="s">
        <v>163</v>
      </c>
      <c r="D4" s="98"/>
    </row>
    <row r="5" spans="1:21" ht="14.25" customHeight="1"/>
    <row r="6" spans="1:21" ht="23.25">
      <c r="A6" s="79" t="s">
        <v>130</v>
      </c>
      <c r="B6" s="98"/>
      <c r="C6" s="98"/>
      <c r="D6" s="98"/>
    </row>
    <row r="7" spans="1:21" ht="15" customHeight="1">
      <c r="A7" s="14" t="s">
        <v>131</v>
      </c>
      <c r="B7" s="15" t="s">
        <v>132</v>
      </c>
      <c r="C7" s="15" t="s">
        <v>133</v>
      </c>
      <c r="D7" s="16" t="s">
        <v>134</v>
      </c>
    </row>
    <row r="8" spans="1:21" ht="14.25" customHeight="1">
      <c r="A8" s="32">
        <v>1</v>
      </c>
      <c r="B8" s="17" t="s">
        <v>135</v>
      </c>
      <c r="C8" s="18"/>
      <c r="D8" s="33" t="s">
        <v>136</v>
      </c>
    </row>
    <row r="9" spans="1:21" ht="14.25" customHeight="1">
      <c r="A9" s="32">
        <v>2</v>
      </c>
      <c r="B9" s="17" t="s">
        <v>137</v>
      </c>
      <c r="C9" s="18"/>
      <c r="D9" s="33" t="s">
        <v>136</v>
      </c>
    </row>
    <row r="10" spans="1:21" ht="14.25" customHeight="1">
      <c r="A10" s="32">
        <v>3</v>
      </c>
      <c r="B10" s="17" t="s">
        <v>138</v>
      </c>
      <c r="C10" s="18" t="s">
        <v>136</v>
      </c>
      <c r="D10" s="33"/>
    </row>
    <row r="11" spans="1:21" ht="14.25" customHeight="1">
      <c r="A11" s="32">
        <v>4</v>
      </c>
      <c r="B11" s="17" t="s">
        <v>139</v>
      </c>
      <c r="C11" s="18" t="s">
        <v>136</v>
      </c>
      <c r="D11" s="33"/>
    </row>
    <row r="12" spans="1:21" ht="14.25" customHeight="1">
      <c r="A12" s="32">
        <v>5</v>
      </c>
      <c r="B12" s="17" t="s">
        <v>140</v>
      </c>
      <c r="C12" s="18" t="s">
        <v>136</v>
      </c>
      <c r="D12" s="33"/>
    </row>
    <row r="13" spans="1:21" ht="14.25" customHeight="1">
      <c r="A13" s="32">
        <v>6</v>
      </c>
      <c r="B13" s="17" t="s">
        <v>141</v>
      </c>
      <c r="C13" s="18" t="s">
        <v>136</v>
      </c>
      <c r="D13" s="33"/>
    </row>
    <row r="14" spans="1:21" ht="14.25" customHeight="1">
      <c r="A14" s="32">
        <v>7</v>
      </c>
      <c r="B14" s="17" t="s">
        <v>142</v>
      </c>
      <c r="C14" s="18"/>
      <c r="D14" s="33" t="s">
        <v>136</v>
      </c>
    </row>
    <row r="15" spans="1:21" ht="14.25" customHeight="1">
      <c r="A15" s="32">
        <v>8</v>
      </c>
      <c r="B15" s="17" t="s">
        <v>143</v>
      </c>
      <c r="C15" s="18" t="s">
        <v>136</v>
      </c>
      <c r="D15" s="33"/>
    </row>
    <row r="16" spans="1:21" ht="14.25" customHeight="1">
      <c r="A16" s="19">
        <v>9</v>
      </c>
      <c r="B16" s="20" t="s">
        <v>144</v>
      </c>
      <c r="C16" s="21"/>
      <c r="D16" s="21" t="s">
        <v>136</v>
      </c>
    </row>
    <row r="17" spans="1:4" ht="18.75">
      <c r="A17" s="76" t="s">
        <v>145</v>
      </c>
      <c r="B17" s="98"/>
      <c r="C17" s="23">
        <f>COUNTA('MODELO LISTA DE COMPROBACIO CU4'!$C$8:$C$16)</f>
        <v>5</v>
      </c>
      <c r="D17" s="23">
        <f>COUNTA('MODELO LISTA DE COMPROBACIO CU4'!$D$8:$D$16)</f>
        <v>4</v>
      </c>
    </row>
    <row r="18" spans="1:4" ht="18.75">
      <c r="A18" s="76" t="s">
        <v>146</v>
      </c>
      <c r="B18" s="98"/>
      <c r="C18" s="24">
        <f t="shared" ref="C18:D18" si="0">C17/9</f>
        <v>0.55555555555555558</v>
      </c>
      <c r="D18" s="24">
        <f t="shared" si="0"/>
        <v>0.44444444444444442</v>
      </c>
    </row>
    <row r="19" spans="1:4" ht="14.25" customHeight="1">
      <c r="A19" s="22"/>
      <c r="B19" s="22"/>
      <c r="C19" s="24"/>
      <c r="D19" s="23"/>
    </row>
    <row r="20" spans="1:4" ht="23.25">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c r="D25" s="33" t="s">
        <v>136</v>
      </c>
    </row>
    <row r="26" spans="1:4" ht="14.25" customHeight="1">
      <c r="A26" s="19">
        <v>5</v>
      </c>
      <c r="B26" s="20" t="s">
        <v>152</v>
      </c>
      <c r="C26" s="21" t="s">
        <v>136</v>
      </c>
      <c r="D26" s="25"/>
    </row>
    <row r="27" spans="1:4" ht="14.25" customHeight="1">
      <c r="A27" s="76" t="s">
        <v>145</v>
      </c>
      <c r="B27" s="98"/>
      <c r="C27" s="23">
        <f>COUNTA('MODELO LISTA DE COMPROBACIO CU4'!$C$22:$C$26)</f>
        <v>4</v>
      </c>
      <c r="D27" s="23">
        <f>COUNTA('MODELO LISTA DE COMPROBACIO CU4'!$D$22:$D$26)</f>
        <v>1</v>
      </c>
    </row>
    <row r="28" spans="1:4" ht="14.25" customHeight="1">
      <c r="A28" s="76" t="s">
        <v>146</v>
      </c>
      <c r="B28" s="98"/>
      <c r="C28" s="24">
        <f t="shared" ref="C28:D28" si="1">C27/5</f>
        <v>0.8</v>
      </c>
      <c r="D28" s="24">
        <f t="shared" si="1"/>
        <v>0.2</v>
      </c>
    </row>
    <row r="29" spans="1:4" ht="14.25" customHeight="1">
      <c r="A29" s="22"/>
      <c r="B29" s="22"/>
      <c r="C29" s="24"/>
      <c r="D29" s="23"/>
    </row>
    <row r="30" spans="1:4" ht="23.25">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s="7">
        <f>COUNTA('MODELO LISTA DE COMPROBACIO CU4'!$C$32:$C$34)</f>
        <v>3</v>
      </c>
      <c r="D35" s="7">
        <f>COUNTA('MODELO LISTA DE COMPROBACIO CU4'!$D$32:$D$34)</f>
        <v>0</v>
      </c>
    </row>
    <row r="36" spans="1:4" ht="14.25" customHeight="1">
      <c r="A36" s="76" t="s">
        <v>146</v>
      </c>
      <c r="B36" s="98"/>
      <c r="C36" s="24">
        <f t="shared" ref="C36:D36" si="2">C35/3</f>
        <v>1</v>
      </c>
      <c r="D36" s="24">
        <f t="shared" si="2"/>
        <v>0</v>
      </c>
    </row>
    <row r="37" spans="1:4" ht="14.25" customHeight="1"/>
    <row r="38" spans="1:4" ht="14.25" customHeight="1"/>
    <row r="39" spans="1:4" ht="14.25" customHeight="1"/>
    <row r="40" spans="1:4" ht="14.25" customHeight="1">
      <c r="A40" s="77" t="s">
        <v>157</v>
      </c>
      <c r="B40" s="98"/>
      <c r="C40" s="98"/>
    </row>
    <row r="41" spans="1:4">
      <c r="B41" s="11" t="s">
        <v>158</v>
      </c>
      <c r="C41" s="23">
        <v>56</v>
      </c>
    </row>
    <row r="42" spans="1:4">
      <c r="B42" s="11" t="s">
        <v>147</v>
      </c>
      <c r="C42" s="23">
        <v>80</v>
      </c>
    </row>
    <row r="43" spans="1:4">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28" priority="9" operator="containsText" text="X">
      <formula>NOT(ISERROR(SEARCH(("X"),(A32))))</formula>
    </cfRule>
  </conditionalFormatting>
  <conditionalFormatting sqref="C8:D16 C22:C26 C32:D34">
    <cfRule type="containsText" dxfId="127" priority="10" operator="containsText" text="X">
      <formula>NOT(ISERROR(SEARCH(("X"),(C8))))</formula>
    </cfRule>
  </conditionalFormatting>
  <conditionalFormatting sqref="C8:D16 C22:C26 C32:D34">
    <cfRule type="containsText" dxfId="126" priority="11" operator="containsText" text="X">
      <formula>NOT(ISERROR(SEARCH(("X"),(C8))))</formula>
    </cfRule>
  </conditionalFormatting>
  <conditionalFormatting sqref="C8:D16 C22:C26 C32:D34">
    <cfRule type="containsText" dxfId="125" priority="12" operator="containsText" text="X">
      <formula>NOT(ISERROR(SEARCH(("X"),(C8))))</formula>
    </cfRule>
  </conditionalFormatting>
  <conditionalFormatting sqref="C8:D16 C22:C26 C32:D34">
    <cfRule type="containsText" dxfId="124" priority="13" operator="containsText" text="X">
      <formula>NOT(ISERROR(SEARCH(("X"),(C8))))</formula>
    </cfRule>
  </conditionalFormatting>
  <conditionalFormatting sqref="C22:D26">
    <cfRule type="containsText" dxfId="123" priority="14" operator="containsText" text="X">
      <formula>NOT(ISERROR(SEARCH(("X"),(C22))))</formula>
    </cfRule>
  </conditionalFormatting>
  <conditionalFormatting sqref="C22:D26">
    <cfRule type="containsText" dxfId="122" priority="15" operator="containsText" text="X">
      <formula>NOT(ISERROR(SEARCH(("X"),(C22))))</formula>
    </cfRule>
  </conditionalFormatting>
  <conditionalFormatting sqref="C32:D34">
    <cfRule type="containsText" dxfId="121" priority="16"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D7CA0-5465-4273-A674-71BB7FE6E92D}">
  <dimension ref="A1:U1000"/>
  <sheetViews>
    <sheetView topLeftCell="B27" workbookViewId="0">
      <selection activeCell="C42" sqref="C42"/>
    </sheetView>
  </sheetViews>
  <sheetFormatPr defaultColWidth="14.42578125" defaultRowHeight="15" customHeight="1"/>
  <cols>
    <col min="1" max="1" width="10.7109375" customWidth="1"/>
    <col min="2" max="2" width="34.5703125" customWidth="1"/>
    <col min="3" max="3" width="16.140625" customWidth="1"/>
    <col min="4" max="21" width="10.7109375" customWidth="1"/>
  </cols>
  <sheetData>
    <row r="1" spans="1:21" ht="51" customHeight="1">
      <c r="A1" s="11"/>
      <c r="B1" s="12" t="s">
        <v>1</v>
      </c>
      <c r="C1" s="80" t="s">
        <v>161</v>
      </c>
      <c r="D1" s="98"/>
      <c r="E1" s="11"/>
      <c r="F1" s="11"/>
      <c r="G1" s="11"/>
      <c r="H1" s="11"/>
      <c r="I1" s="11"/>
      <c r="J1" s="11"/>
      <c r="K1" s="11"/>
      <c r="L1" s="11"/>
      <c r="M1" s="11"/>
      <c r="N1" s="11"/>
      <c r="O1" s="11"/>
      <c r="P1" s="11"/>
      <c r="Q1" s="11"/>
      <c r="R1" s="11"/>
      <c r="S1" s="11"/>
      <c r="T1" s="11"/>
      <c r="U1" s="11"/>
    </row>
    <row r="2" spans="1:21" ht="14.25" customHeight="1">
      <c r="B2" s="13" t="s">
        <v>126</v>
      </c>
      <c r="C2" s="81">
        <v>46297</v>
      </c>
      <c r="D2" s="98"/>
    </row>
    <row r="3" spans="1:21" ht="14.25" customHeight="1">
      <c r="B3" s="13" t="s">
        <v>127</v>
      </c>
      <c r="C3" s="82" t="s">
        <v>162</v>
      </c>
      <c r="D3" s="98"/>
    </row>
    <row r="4" spans="1:21" ht="18.75">
      <c r="B4" s="13" t="s">
        <v>129</v>
      </c>
      <c r="C4" s="82" t="s">
        <v>164</v>
      </c>
      <c r="D4" s="98"/>
    </row>
    <row r="5" spans="1:21" ht="14.25" customHeight="1"/>
    <row r="6" spans="1:21" ht="23.25">
      <c r="A6" s="79" t="s">
        <v>130</v>
      </c>
      <c r="B6" s="98"/>
      <c r="C6" s="98"/>
      <c r="D6" s="98"/>
    </row>
    <row r="7" spans="1:21" ht="15" customHeight="1">
      <c r="A7" s="14" t="s">
        <v>131</v>
      </c>
      <c r="B7" s="15" t="s">
        <v>132</v>
      </c>
      <c r="C7" s="15" t="s">
        <v>133</v>
      </c>
      <c r="D7" s="16" t="s">
        <v>134</v>
      </c>
    </row>
    <row r="8" spans="1:21" ht="14.25" customHeight="1">
      <c r="A8" s="32">
        <v>1</v>
      </c>
      <c r="B8" s="17" t="s">
        <v>135</v>
      </c>
      <c r="C8" s="18"/>
      <c r="D8" s="33" t="s">
        <v>136</v>
      </c>
    </row>
    <row r="9" spans="1:21" ht="14.25" customHeight="1">
      <c r="A9" s="32">
        <v>2</v>
      </c>
      <c r="B9" s="17" t="s">
        <v>137</v>
      </c>
      <c r="C9" s="18"/>
      <c r="D9" s="33" t="s">
        <v>136</v>
      </c>
    </row>
    <row r="10" spans="1:21" ht="14.25" customHeight="1">
      <c r="A10" s="32">
        <v>3</v>
      </c>
      <c r="B10" s="17" t="s">
        <v>138</v>
      </c>
      <c r="C10" s="18"/>
      <c r="D10" s="18" t="s">
        <v>136</v>
      </c>
    </row>
    <row r="11" spans="1:21" ht="14.25" customHeight="1">
      <c r="A11" s="32">
        <v>4</v>
      </c>
      <c r="B11" s="17" t="s">
        <v>139</v>
      </c>
      <c r="C11" s="18" t="s">
        <v>136</v>
      </c>
      <c r="D11" s="33"/>
    </row>
    <row r="12" spans="1:21" ht="14.25" customHeight="1">
      <c r="A12" s="32">
        <v>5</v>
      </c>
      <c r="B12" s="17" t="s">
        <v>140</v>
      </c>
      <c r="C12" s="18" t="s">
        <v>136</v>
      </c>
      <c r="D12" s="33"/>
    </row>
    <row r="13" spans="1:21" ht="14.25" customHeight="1">
      <c r="A13" s="32">
        <v>6</v>
      </c>
      <c r="B13" s="17" t="s">
        <v>141</v>
      </c>
      <c r="C13" s="18" t="s">
        <v>136</v>
      </c>
      <c r="D13" s="33"/>
    </row>
    <row r="14" spans="1:21" ht="14.25" customHeight="1">
      <c r="A14" s="32">
        <v>7</v>
      </c>
      <c r="B14" s="17" t="s">
        <v>142</v>
      </c>
      <c r="C14" s="18"/>
      <c r="D14" s="33" t="s">
        <v>136</v>
      </c>
    </row>
    <row r="15" spans="1:21" ht="14.25" customHeight="1">
      <c r="A15" s="32">
        <v>8</v>
      </c>
      <c r="B15" s="17" t="s">
        <v>143</v>
      </c>
      <c r="C15" s="18" t="s">
        <v>136</v>
      </c>
      <c r="D15" s="33"/>
    </row>
    <row r="16" spans="1:21" ht="14.25" customHeight="1">
      <c r="A16" s="19">
        <v>9</v>
      </c>
      <c r="B16" s="20" t="s">
        <v>144</v>
      </c>
      <c r="C16" s="21"/>
      <c r="D16" s="21" t="s">
        <v>136</v>
      </c>
    </row>
    <row r="17" spans="1:4" ht="18.75">
      <c r="A17" s="76" t="s">
        <v>145</v>
      </c>
      <c r="B17" s="98"/>
      <c r="C17" s="23">
        <f>COUNTA('MODELO LISTA DE COMPROBACI CU6'!$C$8:$C$16)</f>
        <v>4</v>
      </c>
      <c r="D17" s="23">
        <f>COUNTA('MODELO LISTA DE COMPROBACI CU6'!$D$8:$D$16)</f>
        <v>5</v>
      </c>
    </row>
    <row r="18" spans="1:4" ht="18.75">
      <c r="A18" s="76" t="s">
        <v>146</v>
      </c>
      <c r="B18" s="98"/>
      <c r="C18" s="24">
        <f>C17/9</f>
        <v>0.44444444444444442</v>
      </c>
      <c r="D18" s="24">
        <f>D17/9</f>
        <v>0.55555555555555558</v>
      </c>
    </row>
    <row r="19" spans="1:4" ht="14.25" customHeight="1">
      <c r="A19" s="22"/>
      <c r="B19" s="22"/>
      <c r="C19" s="24"/>
      <c r="D19" s="23"/>
    </row>
    <row r="20" spans="1:4" ht="23.25">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c r="D25" s="33" t="s">
        <v>136</v>
      </c>
    </row>
    <row r="26" spans="1:4" ht="14.25" customHeight="1">
      <c r="A26" s="19">
        <v>5</v>
      </c>
      <c r="B26" s="20" t="s">
        <v>152</v>
      </c>
      <c r="C26" s="21" t="s">
        <v>136</v>
      </c>
      <c r="D26" s="25"/>
    </row>
    <row r="27" spans="1:4" ht="14.25" customHeight="1">
      <c r="A27" s="76" t="s">
        <v>145</v>
      </c>
      <c r="B27" s="98"/>
      <c r="C27" s="23">
        <f>COUNTA('MODELO LISTA DE COMPROBACI CU6'!$C$22:$C$26)</f>
        <v>4</v>
      </c>
      <c r="D27" s="23">
        <f>COUNTA('MODELO LISTA DE COMPROBACI CU6'!$D$22:$D$26)</f>
        <v>1</v>
      </c>
    </row>
    <row r="28" spans="1:4" ht="14.25" customHeight="1">
      <c r="A28" s="76" t="s">
        <v>146</v>
      </c>
      <c r="B28" s="98"/>
      <c r="C28" s="24">
        <f>C27/5</f>
        <v>0.8</v>
      </c>
      <c r="D28" s="24">
        <f>D27/5</f>
        <v>0.2</v>
      </c>
    </row>
    <row r="29" spans="1:4" ht="14.25" customHeight="1">
      <c r="A29" s="22"/>
      <c r="B29" s="22"/>
      <c r="C29" s="24"/>
      <c r="D29" s="23"/>
    </row>
    <row r="30" spans="1:4" ht="23.25">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f>COUNTA('MODELO LISTA DE COMPROBACI CU6'!$C$32:$C$34)</f>
        <v>3</v>
      </c>
      <c r="D35">
        <f>COUNTA('MODELO LISTA DE COMPROBACI CU6'!$D$32:$D$34)</f>
        <v>0</v>
      </c>
    </row>
    <row r="36" spans="1:4" ht="14.25" customHeight="1">
      <c r="A36" s="76" t="s">
        <v>146</v>
      </c>
      <c r="B36" s="98"/>
      <c r="C36" s="24">
        <f>C35/3</f>
        <v>1</v>
      </c>
      <c r="D36" s="24">
        <f>D35/3</f>
        <v>0</v>
      </c>
    </row>
    <row r="37" spans="1:4" ht="14.25" customHeight="1"/>
    <row r="38" spans="1:4" ht="14.25" customHeight="1"/>
    <row r="39" spans="1:4" ht="14.25" customHeight="1"/>
    <row r="40" spans="1:4" ht="14.25" customHeight="1">
      <c r="A40" s="77" t="s">
        <v>157</v>
      </c>
      <c r="B40" s="98"/>
      <c r="C40" s="98"/>
    </row>
    <row r="41" spans="1:4">
      <c r="B41" s="11" t="s">
        <v>158</v>
      </c>
      <c r="C41" s="23">
        <v>44</v>
      </c>
    </row>
    <row r="42" spans="1:4">
      <c r="B42" s="11" t="s">
        <v>147</v>
      </c>
      <c r="C42" s="23">
        <v>80</v>
      </c>
    </row>
    <row r="43" spans="1:4">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20" priority="1" operator="containsText" text="X">
      <formula>NOT(ISERROR(SEARCH(("X"),(A32))))</formula>
    </cfRule>
  </conditionalFormatting>
  <conditionalFormatting sqref="C22:C26 C32:D34 C8:D16">
    <cfRule type="containsText" dxfId="119" priority="2" operator="containsText" text="X">
      <formula>NOT(ISERROR(SEARCH(("X"),(C8))))</formula>
    </cfRule>
  </conditionalFormatting>
  <conditionalFormatting sqref="C22:C26 C32:D34 C8:D16">
    <cfRule type="containsText" dxfId="118" priority="3" operator="containsText" text="X">
      <formula>NOT(ISERROR(SEARCH(("X"),(C8))))</formula>
    </cfRule>
  </conditionalFormatting>
  <conditionalFormatting sqref="C22:C26 C32:D34 C8:D16">
    <cfRule type="containsText" dxfId="117" priority="4" operator="containsText" text="X">
      <formula>NOT(ISERROR(SEARCH(("X"),(C8))))</formula>
    </cfRule>
  </conditionalFormatting>
  <conditionalFormatting sqref="C22:C26 C32:D34 C8:D16">
    <cfRule type="containsText" dxfId="116" priority="5" operator="containsText" text="X">
      <formula>NOT(ISERROR(SEARCH(("X"),(C8))))</formula>
    </cfRule>
  </conditionalFormatting>
  <conditionalFormatting sqref="C22:D26">
    <cfRule type="containsText" dxfId="115" priority="6" operator="containsText" text="X">
      <formula>NOT(ISERROR(SEARCH(("X"),(C22))))</formula>
    </cfRule>
  </conditionalFormatting>
  <conditionalFormatting sqref="C22:D26">
    <cfRule type="containsText" dxfId="114" priority="7" operator="containsText" text="X">
      <formula>NOT(ISERROR(SEARCH(("X"),(C22))))</formula>
    </cfRule>
  </conditionalFormatting>
  <conditionalFormatting sqref="C32:D34">
    <cfRule type="containsText" dxfId="113"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EC100-51CA-413D-B649-E0ED83A4E40F}">
  <dimension ref="A1:U1000"/>
  <sheetViews>
    <sheetView topLeftCell="B32" workbookViewId="0">
      <selection activeCell="C15" sqref="C15"/>
    </sheetView>
  </sheetViews>
  <sheetFormatPr defaultColWidth="14.42578125" defaultRowHeight="15" customHeight="1"/>
  <cols>
    <col min="1" max="1" width="10.7109375" customWidth="1"/>
    <col min="2" max="2" width="34.5703125" customWidth="1"/>
    <col min="3" max="3" width="16.140625" customWidth="1"/>
    <col min="4" max="21" width="10.7109375" customWidth="1"/>
  </cols>
  <sheetData>
    <row r="1" spans="1:21" ht="51" customHeight="1">
      <c r="A1" s="11"/>
      <c r="B1" s="12" t="s">
        <v>1</v>
      </c>
      <c r="C1" s="80" t="s">
        <v>161</v>
      </c>
      <c r="D1" s="98"/>
      <c r="E1" s="11"/>
      <c r="F1" s="11"/>
      <c r="G1" s="11"/>
      <c r="H1" s="11"/>
      <c r="I1" s="11"/>
      <c r="J1" s="11"/>
      <c r="K1" s="11"/>
      <c r="L1" s="11"/>
      <c r="M1" s="11"/>
      <c r="N1" s="11"/>
      <c r="O1" s="11"/>
      <c r="P1" s="11"/>
      <c r="Q1" s="11"/>
      <c r="R1" s="11"/>
      <c r="S1" s="11"/>
      <c r="T1" s="11"/>
      <c r="U1" s="11"/>
    </row>
    <row r="2" spans="1:21" ht="14.25" customHeight="1">
      <c r="B2" s="13" t="s">
        <v>126</v>
      </c>
      <c r="C2" s="81">
        <v>46297</v>
      </c>
      <c r="D2" s="98"/>
    </row>
    <row r="3" spans="1:21" ht="14.25" customHeight="1">
      <c r="B3" s="13" t="s">
        <v>127</v>
      </c>
      <c r="C3" s="82" t="s">
        <v>162</v>
      </c>
      <c r="D3" s="98"/>
    </row>
    <row r="4" spans="1:21" ht="14.25" customHeight="1">
      <c r="B4" s="13" t="s">
        <v>129</v>
      </c>
      <c r="C4" s="82" t="s">
        <v>165</v>
      </c>
      <c r="D4" s="98"/>
    </row>
    <row r="5" spans="1:21" ht="14.25" customHeight="1"/>
    <row r="6" spans="1:21" ht="23.25">
      <c r="A6" s="79" t="s">
        <v>130</v>
      </c>
      <c r="B6" s="98"/>
      <c r="C6" s="98"/>
      <c r="D6" s="98"/>
    </row>
    <row r="7" spans="1:21" ht="15" customHeight="1">
      <c r="A7" s="14" t="s">
        <v>131</v>
      </c>
      <c r="B7" s="15" t="s">
        <v>132</v>
      </c>
      <c r="C7" s="15" t="s">
        <v>133</v>
      </c>
      <c r="D7" s="16" t="s">
        <v>134</v>
      </c>
    </row>
    <row r="8" spans="1:21" ht="14.25" customHeight="1">
      <c r="A8" s="32">
        <v>1</v>
      </c>
      <c r="B8" s="17" t="s">
        <v>135</v>
      </c>
      <c r="C8" s="18"/>
      <c r="D8" s="33" t="s">
        <v>136</v>
      </c>
    </row>
    <row r="9" spans="1:21" ht="14.25" customHeight="1">
      <c r="A9" s="32">
        <v>2</v>
      </c>
      <c r="B9" s="17" t="s">
        <v>137</v>
      </c>
      <c r="C9" s="18"/>
      <c r="D9" s="33" t="s">
        <v>136</v>
      </c>
    </row>
    <row r="10" spans="1:21" ht="14.25" customHeight="1">
      <c r="A10" s="32">
        <v>3</v>
      </c>
      <c r="B10" s="17" t="s">
        <v>138</v>
      </c>
      <c r="C10" s="18"/>
      <c r="D10" s="18" t="s">
        <v>136</v>
      </c>
    </row>
    <row r="11" spans="1:21" ht="14.25" customHeight="1">
      <c r="A11" s="32">
        <v>4</v>
      </c>
      <c r="B11" s="17" t="s">
        <v>139</v>
      </c>
      <c r="C11" s="18" t="s">
        <v>136</v>
      </c>
      <c r="D11" s="33"/>
    </row>
    <row r="12" spans="1:21" ht="14.25" customHeight="1">
      <c r="A12" s="32">
        <v>5</v>
      </c>
      <c r="B12" s="17" t="s">
        <v>140</v>
      </c>
      <c r="C12" s="18" t="s">
        <v>136</v>
      </c>
      <c r="D12" s="33"/>
    </row>
    <row r="13" spans="1:21" ht="14.25" customHeight="1">
      <c r="A13" s="32">
        <v>6</v>
      </c>
      <c r="B13" s="17" t="s">
        <v>141</v>
      </c>
      <c r="C13" s="18" t="s">
        <v>136</v>
      </c>
      <c r="D13" s="33"/>
    </row>
    <row r="14" spans="1:21" ht="14.25" customHeight="1">
      <c r="A14" s="32">
        <v>7</v>
      </c>
      <c r="B14" s="17" t="s">
        <v>142</v>
      </c>
      <c r="C14" s="18" t="s">
        <v>136</v>
      </c>
      <c r="D14" s="33"/>
    </row>
    <row r="15" spans="1:21" ht="14.25" customHeight="1">
      <c r="A15" s="32">
        <v>8</v>
      </c>
      <c r="B15" s="17" t="s">
        <v>143</v>
      </c>
      <c r="C15" s="18" t="s">
        <v>136</v>
      </c>
      <c r="D15" s="33"/>
    </row>
    <row r="16" spans="1:21" ht="14.25" customHeight="1">
      <c r="A16" s="19">
        <v>9</v>
      </c>
      <c r="B16" s="20" t="s">
        <v>144</v>
      </c>
      <c r="C16" s="21"/>
      <c r="D16" s="21" t="s">
        <v>136</v>
      </c>
    </row>
    <row r="17" spans="1:4" ht="18.75">
      <c r="A17" s="76" t="s">
        <v>145</v>
      </c>
      <c r="B17" s="98"/>
      <c r="C17" s="23">
        <f>COUNTA('MODELO LISTA DE COMPROBACIO CU8'!$C$8:$C$16)</f>
        <v>5</v>
      </c>
      <c r="D17" s="23">
        <f>COUNTA('MODELO LISTA DE COMPROBACIO CU8'!$D$8:$D$16)</f>
        <v>4</v>
      </c>
    </row>
    <row r="18" spans="1:4" ht="18.75">
      <c r="A18" s="76" t="s">
        <v>146</v>
      </c>
      <c r="B18" s="98"/>
      <c r="C18" s="24">
        <f>C17/9</f>
        <v>0.55555555555555558</v>
      </c>
      <c r="D18" s="24">
        <f>D17/9</f>
        <v>0.44444444444444442</v>
      </c>
    </row>
    <row r="19" spans="1:4" ht="14.25" customHeight="1">
      <c r="A19" s="22"/>
      <c r="B19" s="22"/>
      <c r="C19" s="24"/>
      <c r="D19" s="23"/>
    </row>
    <row r="20" spans="1:4" ht="23.25">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c r="D25" s="33" t="s">
        <v>136</v>
      </c>
    </row>
    <row r="26" spans="1:4" ht="14.25" customHeight="1">
      <c r="A26" s="19">
        <v>5</v>
      </c>
      <c r="B26" s="20" t="s">
        <v>152</v>
      </c>
      <c r="C26" s="21" t="s">
        <v>136</v>
      </c>
      <c r="D26" s="25"/>
    </row>
    <row r="27" spans="1:4" ht="14.25" customHeight="1">
      <c r="A27" s="76" t="s">
        <v>145</v>
      </c>
      <c r="B27" s="98"/>
      <c r="C27" s="23">
        <f>COUNTA('MODELO LISTA DE COMPROBACIO CU8'!$C$22:$C$26)</f>
        <v>4</v>
      </c>
      <c r="D27" s="23">
        <f>COUNTA('MODELO LISTA DE COMPROBACIO CU8'!$D$22:$D$26)</f>
        <v>1</v>
      </c>
    </row>
    <row r="28" spans="1:4" ht="14.25" customHeight="1">
      <c r="A28" s="76" t="s">
        <v>146</v>
      </c>
      <c r="B28" s="98"/>
      <c r="C28" s="24">
        <f>C27/5</f>
        <v>0.8</v>
      </c>
      <c r="D28" s="24">
        <f>D27/5</f>
        <v>0.2</v>
      </c>
    </row>
    <row r="29" spans="1:4" ht="14.25" customHeight="1">
      <c r="A29" s="22"/>
      <c r="B29" s="22"/>
      <c r="C29" s="24"/>
      <c r="D29" s="23"/>
    </row>
    <row r="30" spans="1:4" ht="23.25">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f>COUNTA('MODELO LISTA DE COMPROBACIO CU8'!$C$32:$C$34)</f>
        <v>3</v>
      </c>
      <c r="D35">
        <f>COUNTA('MODELO LISTA DE COMPROBACIO CU8'!$D$32:$D$34)</f>
        <v>0</v>
      </c>
    </row>
    <row r="36" spans="1:4" ht="14.25" customHeight="1">
      <c r="A36" s="76" t="s">
        <v>146</v>
      </c>
      <c r="B36" s="98"/>
      <c r="C36" s="24">
        <f>C35/3</f>
        <v>1</v>
      </c>
      <c r="D36" s="24">
        <f>D35/3</f>
        <v>0</v>
      </c>
    </row>
    <row r="37" spans="1:4" ht="14.25" customHeight="1"/>
    <row r="38" spans="1:4" ht="14.25" customHeight="1"/>
    <row r="39" spans="1:4" ht="14.25" customHeight="1"/>
    <row r="40" spans="1:4" ht="14.25" customHeight="1">
      <c r="A40" s="77" t="s">
        <v>157</v>
      </c>
      <c r="B40" s="98"/>
      <c r="C40" s="98"/>
    </row>
    <row r="41" spans="1:4">
      <c r="B41" s="11" t="s">
        <v>158</v>
      </c>
      <c r="C41" s="23">
        <v>56</v>
      </c>
    </row>
    <row r="42" spans="1:4">
      <c r="B42" s="11" t="s">
        <v>147</v>
      </c>
      <c r="C42" s="23">
        <v>80</v>
      </c>
    </row>
    <row r="43" spans="1:4">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12" priority="1" operator="containsText" text="X">
      <formula>NOT(ISERROR(SEARCH(("X"),(A32))))</formula>
    </cfRule>
  </conditionalFormatting>
  <conditionalFormatting sqref="C22:C26 C32:D34 C8:D16">
    <cfRule type="containsText" dxfId="111" priority="2" operator="containsText" text="X">
      <formula>NOT(ISERROR(SEARCH(("X"),(C8))))</formula>
    </cfRule>
  </conditionalFormatting>
  <conditionalFormatting sqref="C22:C26 C32:D34 C8:D16">
    <cfRule type="containsText" dxfId="110" priority="3" operator="containsText" text="X">
      <formula>NOT(ISERROR(SEARCH(("X"),(C8))))</formula>
    </cfRule>
  </conditionalFormatting>
  <conditionalFormatting sqref="C22:C26 C32:D34 C8:D16">
    <cfRule type="containsText" dxfId="109" priority="4" operator="containsText" text="X">
      <formula>NOT(ISERROR(SEARCH(("X"),(C8))))</formula>
    </cfRule>
  </conditionalFormatting>
  <conditionalFormatting sqref="C22:C26 C32:D34 C8:D16">
    <cfRule type="containsText" dxfId="108" priority="5" operator="containsText" text="X">
      <formula>NOT(ISERROR(SEARCH(("X"),(C8))))</formula>
    </cfRule>
  </conditionalFormatting>
  <conditionalFormatting sqref="C22:D26">
    <cfRule type="containsText" dxfId="107" priority="6" operator="containsText" text="X">
      <formula>NOT(ISERROR(SEARCH(("X"),(C22))))</formula>
    </cfRule>
  </conditionalFormatting>
  <conditionalFormatting sqref="C22:D26">
    <cfRule type="containsText" dxfId="106" priority="7" operator="containsText" text="X">
      <formula>NOT(ISERROR(SEARCH(("X"),(C22))))</formula>
    </cfRule>
  </conditionalFormatting>
  <conditionalFormatting sqref="C32:D34">
    <cfRule type="containsText" dxfId="105"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BF1B-BF82-4CF7-AB3A-861E6B53602B}">
  <dimension ref="A1:U1000"/>
  <sheetViews>
    <sheetView topLeftCell="B28" workbookViewId="0">
      <selection activeCell="D41" sqref="D41"/>
    </sheetView>
  </sheetViews>
  <sheetFormatPr defaultColWidth="14.42578125" defaultRowHeight="15" customHeight="1"/>
  <cols>
    <col min="1" max="1" width="10.7109375" customWidth="1"/>
    <col min="2" max="2" width="34.5703125" customWidth="1"/>
    <col min="3" max="3" width="16.140625" customWidth="1"/>
    <col min="4" max="21" width="10.7109375" customWidth="1"/>
  </cols>
  <sheetData>
    <row r="1" spans="1:21" ht="51" customHeight="1">
      <c r="A1" s="11"/>
      <c r="B1" s="12" t="s">
        <v>1</v>
      </c>
      <c r="C1" s="80" t="s">
        <v>161</v>
      </c>
      <c r="D1" s="98"/>
      <c r="E1" s="11"/>
      <c r="F1" s="11"/>
      <c r="G1" s="11"/>
      <c r="H1" s="11"/>
      <c r="I1" s="11"/>
      <c r="J1" s="11"/>
      <c r="K1" s="11"/>
      <c r="L1" s="11"/>
      <c r="M1" s="11"/>
      <c r="N1" s="11"/>
      <c r="O1" s="11"/>
      <c r="P1" s="11"/>
      <c r="Q1" s="11"/>
      <c r="R1" s="11"/>
      <c r="S1" s="11"/>
      <c r="T1" s="11"/>
      <c r="U1" s="11"/>
    </row>
    <row r="2" spans="1:21" ht="14.25" customHeight="1">
      <c r="B2" s="13" t="s">
        <v>126</v>
      </c>
      <c r="C2" s="81">
        <v>46297</v>
      </c>
      <c r="D2" s="98"/>
    </row>
    <row r="3" spans="1:21" ht="14.25" customHeight="1">
      <c r="B3" s="13" t="s">
        <v>127</v>
      </c>
      <c r="C3" s="82" t="s">
        <v>162</v>
      </c>
      <c r="D3" s="98"/>
    </row>
    <row r="4" spans="1:21" ht="14.25" customHeight="1">
      <c r="B4" s="13" t="s">
        <v>129</v>
      </c>
      <c r="C4" s="82" t="s">
        <v>166</v>
      </c>
      <c r="D4" s="98"/>
    </row>
    <row r="5" spans="1:21" ht="14.25" customHeight="1"/>
    <row r="6" spans="1:21" ht="23.25">
      <c r="A6" s="79" t="s">
        <v>130</v>
      </c>
      <c r="B6" s="98"/>
      <c r="C6" s="98"/>
      <c r="D6" s="98"/>
    </row>
    <row r="7" spans="1:21" ht="15" customHeight="1">
      <c r="A7" s="14" t="s">
        <v>131</v>
      </c>
      <c r="B7" s="15" t="s">
        <v>132</v>
      </c>
      <c r="C7" s="15" t="s">
        <v>133</v>
      </c>
      <c r="D7" s="16" t="s">
        <v>134</v>
      </c>
    </row>
    <row r="8" spans="1:21" ht="14.25" customHeight="1">
      <c r="A8" s="32">
        <v>1</v>
      </c>
      <c r="B8" s="17" t="s">
        <v>135</v>
      </c>
      <c r="C8" s="18"/>
      <c r="D8" s="33" t="s">
        <v>136</v>
      </c>
    </row>
    <row r="9" spans="1:21" ht="14.25" customHeight="1">
      <c r="A9" s="32">
        <v>2</v>
      </c>
      <c r="B9" s="17" t="s">
        <v>137</v>
      </c>
      <c r="C9" s="18"/>
      <c r="D9" s="33" t="s">
        <v>136</v>
      </c>
    </row>
    <row r="10" spans="1:21" ht="14.25" customHeight="1">
      <c r="A10" s="32">
        <v>3</v>
      </c>
      <c r="B10" s="17" t="s">
        <v>138</v>
      </c>
      <c r="C10" s="18"/>
      <c r="D10" s="33" t="s">
        <v>136</v>
      </c>
    </row>
    <row r="11" spans="1:21" ht="14.25" customHeight="1">
      <c r="A11" s="32">
        <v>4</v>
      </c>
      <c r="B11" s="17" t="s">
        <v>139</v>
      </c>
      <c r="C11" s="18" t="s">
        <v>136</v>
      </c>
      <c r="D11" s="33"/>
    </row>
    <row r="12" spans="1:21" ht="14.25" customHeight="1">
      <c r="A12" s="32">
        <v>5</v>
      </c>
      <c r="B12" s="17" t="s">
        <v>140</v>
      </c>
      <c r="C12" s="18"/>
      <c r="D12" s="33" t="s">
        <v>136</v>
      </c>
    </row>
    <row r="13" spans="1:21" ht="14.25" customHeight="1">
      <c r="A13" s="32">
        <v>6</v>
      </c>
      <c r="B13" s="17" t="s">
        <v>141</v>
      </c>
      <c r="C13" s="18" t="s">
        <v>136</v>
      </c>
      <c r="D13" s="33"/>
    </row>
    <row r="14" spans="1:21" ht="14.25" customHeight="1">
      <c r="A14" s="32">
        <v>7</v>
      </c>
      <c r="B14" s="17" t="s">
        <v>142</v>
      </c>
      <c r="C14" s="18"/>
      <c r="D14" s="33" t="s">
        <v>136</v>
      </c>
    </row>
    <row r="15" spans="1:21" ht="14.25" customHeight="1">
      <c r="A15" s="32">
        <v>8</v>
      </c>
      <c r="B15" s="17" t="s">
        <v>143</v>
      </c>
      <c r="C15" s="18" t="s">
        <v>136</v>
      </c>
      <c r="D15" s="33"/>
    </row>
    <row r="16" spans="1:21" ht="14.25" customHeight="1">
      <c r="A16" s="19">
        <v>9</v>
      </c>
      <c r="B16" s="20" t="s">
        <v>144</v>
      </c>
      <c r="C16" s="21"/>
      <c r="D16" s="21" t="s">
        <v>136</v>
      </c>
    </row>
    <row r="17" spans="1:4" ht="18.75">
      <c r="A17" s="76" t="s">
        <v>145</v>
      </c>
      <c r="B17" s="98"/>
      <c r="C17" s="23">
        <f>COUNTA('MODELO LISTA DE COMPROBACIOCU11'!$C$8:$C$16)</f>
        <v>3</v>
      </c>
      <c r="D17" s="23">
        <f>COUNTA('MODELO LISTA DE COMPROBACIOCU11'!$D$8:$D$16)</f>
        <v>6</v>
      </c>
    </row>
    <row r="18" spans="1:4" ht="18.75">
      <c r="A18" s="76" t="s">
        <v>146</v>
      </c>
      <c r="B18" s="98"/>
      <c r="C18" s="24">
        <f>C17/9</f>
        <v>0.33333333333333331</v>
      </c>
      <c r="D18" s="24">
        <f>D17/9</f>
        <v>0.66666666666666663</v>
      </c>
    </row>
    <row r="19" spans="1:4" ht="14.25" customHeight="1">
      <c r="A19" s="22"/>
      <c r="B19" s="22"/>
      <c r="C19" s="24"/>
      <c r="D19" s="23"/>
    </row>
    <row r="20" spans="1:4" ht="23.25">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c r="D23" s="33" t="s">
        <v>136</v>
      </c>
    </row>
    <row r="24" spans="1:4" ht="14.25" customHeight="1">
      <c r="A24" s="32">
        <v>3</v>
      </c>
      <c r="B24" s="17" t="s">
        <v>150</v>
      </c>
      <c r="C24" s="21"/>
      <c r="D24" s="33" t="s">
        <v>136</v>
      </c>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COMPROBACIOCU11'!$C$22:$C$26)</f>
        <v>3</v>
      </c>
      <c r="D27" s="23">
        <f>COUNTA('MODELO LISTA DE COMPROBACIOCU11'!$D$22:$D$26)</f>
        <v>2</v>
      </c>
    </row>
    <row r="28" spans="1:4" ht="14.25" customHeight="1">
      <c r="A28" s="76" t="s">
        <v>146</v>
      </c>
      <c r="B28" s="98"/>
      <c r="C28" s="24">
        <f>C27/5</f>
        <v>0.6</v>
      </c>
      <c r="D28" s="24">
        <f>D27/5</f>
        <v>0.4</v>
      </c>
    </row>
    <row r="29" spans="1:4" ht="14.25" customHeight="1">
      <c r="A29" s="22"/>
      <c r="B29" s="22"/>
      <c r="C29" s="24"/>
      <c r="D29" s="23"/>
    </row>
    <row r="30" spans="1:4" ht="23.25">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f>COUNTA('MODELO LISTA DE COMPROBACIOCU11'!$C$32:$C$34)</f>
        <v>3</v>
      </c>
      <c r="D35">
        <f>COUNTA('MODELO LISTA DE COMPROBACIOCU11'!$D$32:$D$34)</f>
        <v>0</v>
      </c>
    </row>
    <row r="36" spans="1:4" ht="14.25" customHeight="1">
      <c r="A36" s="76" t="s">
        <v>146</v>
      </c>
      <c r="B36" s="98"/>
      <c r="C36" s="24">
        <f>C35/3</f>
        <v>1</v>
      </c>
      <c r="D36" s="24">
        <f>D35/3</f>
        <v>0</v>
      </c>
    </row>
    <row r="37" spans="1:4" ht="14.25" customHeight="1"/>
    <row r="38" spans="1:4" ht="14.25" customHeight="1"/>
    <row r="39" spans="1:4" ht="14.25" customHeight="1"/>
    <row r="40" spans="1:4" ht="14.25" customHeight="1">
      <c r="A40" s="77" t="s">
        <v>157</v>
      </c>
      <c r="B40" s="98"/>
      <c r="C40" s="98"/>
    </row>
    <row r="41" spans="1:4">
      <c r="B41" s="11" t="s">
        <v>158</v>
      </c>
      <c r="C41" s="23">
        <v>33</v>
      </c>
    </row>
    <row r="42" spans="1:4">
      <c r="B42" s="11" t="s">
        <v>147</v>
      </c>
      <c r="C42" s="23">
        <v>60</v>
      </c>
    </row>
    <row r="43" spans="1:4">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104" priority="1" operator="containsText" text="X">
      <formula>NOT(ISERROR(SEARCH(("X"),(A32))))</formula>
    </cfRule>
  </conditionalFormatting>
  <conditionalFormatting sqref="C8:D16 C22:C26 C32:D34">
    <cfRule type="containsText" dxfId="103" priority="2" operator="containsText" text="X">
      <formula>NOT(ISERROR(SEARCH(("X"),(C8))))</formula>
    </cfRule>
  </conditionalFormatting>
  <conditionalFormatting sqref="C8:D16 C22:C26 C32:D34">
    <cfRule type="containsText" dxfId="102" priority="3" operator="containsText" text="X">
      <formula>NOT(ISERROR(SEARCH(("X"),(C8))))</formula>
    </cfRule>
  </conditionalFormatting>
  <conditionalFormatting sqref="C8:D16 C22:C26 C32:D34">
    <cfRule type="containsText" dxfId="101" priority="4" operator="containsText" text="X">
      <formula>NOT(ISERROR(SEARCH(("X"),(C8))))</formula>
    </cfRule>
  </conditionalFormatting>
  <conditionalFormatting sqref="C8:D16 C22:C26 C32:D34">
    <cfRule type="containsText" dxfId="100" priority="5" operator="containsText" text="X">
      <formula>NOT(ISERROR(SEARCH(("X"),(C8))))</formula>
    </cfRule>
  </conditionalFormatting>
  <conditionalFormatting sqref="C22:D26">
    <cfRule type="containsText" dxfId="99" priority="6" operator="containsText" text="X">
      <formula>NOT(ISERROR(SEARCH(("X"),(C22))))</formula>
    </cfRule>
  </conditionalFormatting>
  <conditionalFormatting sqref="C22:D26">
    <cfRule type="containsText" dxfId="98" priority="7" operator="containsText" text="X">
      <formula>NOT(ISERROR(SEARCH(("X"),(C22))))</formula>
    </cfRule>
  </conditionalFormatting>
  <conditionalFormatting sqref="C32:D34">
    <cfRule type="containsText" dxfId="97"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1C9F8-B00C-46B9-90FD-5CDC6EF4E019}">
  <dimension ref="A1:Z1000"/>
  <sheetViews>
    <sheetView workbookViewId="0"/>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128</v>
      </c>
      <c r="D3" s="98"/>
    </row>
    <row r="4" spans="1:26" ht="14.25" customHeight="1">
      <c r="B4" s="13" t="s">
        <v>129</v>
      </c>
      <c r="C4" s="59" t="s">
        <v>167</v>
      </c>
    </row>
    <row r="5" spans="1:26" ht="14.25" customHeight="1"/>
    <row r="6" spans="1:26" ht="14.25" customHeight="1">
      <c r="A6" s="79" t="s">
        <v>130</v>
      </c>
      <c r="B6" s="98"/>
      <c r="C6" s="98"/>
      <c r="D6" s="98"/>
    </row>
    <row r="7" spans="1:26" ht="15" customHeight="1">
      <c r="A7" s="14" t="s">
        <v>131</v>
      </c>
      <c r="B7" s="15" t="s">
        <v>132</v>
      </c>
      <c r="C7" s="15" t="s">
        <v>133</v>
      </c>
      <c r="D7" s="16" t="s">
        <v>134</v>
      </c>
    </row>
    <row r="8" spans="1:26" ht="14.25" customHeight="1">
      <c r="A8" s="32">
        <v>1</v>
      </c>
      <c r="B8" s="17" t="s">
        <v>135</v>
      </c>
      <c r="C8" s="18" t="s">
        <v>136</v>
      </c>
      <c r="D8" s="18"/>
    </row>
    <row r="9" spans="1:26" ht="14.25" customHeight="1">
      <c r="A9" s="32">
        <v>2</v>
      </c>
      <c r="B9" s="17" t="s">
        <v>137</v>
      </c>
      <c r="C9" s="18"/>
      <c r="D9" s="33" t="s">
        <v>136</v>
      </c>
    </row>
    <row r="10" spans="1:26" ht="14.25" customHeight="1">
      <c r="A10" s="32">
        <v>3</v>
      </c>
      <c r="B10" s="17" t="s">
        <v>138</v>
      </c>
      <c r="D10" s="18" t="s">
        <v>136</v>
      </c>
    </row>
    <row r="11" spans="1:26" ht="14.25" customHeight="1">
      <c r="A11" s="32">
        <v>4</v>
      </c>
      <c r="B11" s="17" t="s">
        <v>139</v>
      </c>
      <c r="C11" s="18" t="s">
        <v>136</v>
      </c>
      <c r="D11" s="33"/>
    </row>
    <row r="12" spans="1:26" ht="14.25" customHeight="1">
      <c r="A12" s="32">
        <v>5</v>
      </c>
      <c r="B12" s="17" t="s">
        <v>140</v>
      </c>
      <c r="C12" s="18" t="s">
        <v>136</v>
      </c>
      <c r="D12" s="33"/>
    </row>
    <row r="13" spans="1:26" ht="14.25" customHeight="1">
      <c r="A13" s="32">
        <v>6</v>
      </c>
      <c r="B13" s="17" t="s">
        <v>141</v>
      </c>
      <c r="C13" s="18" t="s">
        <v>136</v>
      </c>
      <c r="D13" s="33"/>
    </row>
    <row r="14" spans="1:26" ht="14.25" customHeight="1">
      <c r="A14" s="32">
        <v>7</v>
      </c>
      <c r="B14" s="17" t="s">
        <v>142</v>
      </c>
      <c r="C14" s="33" t="s">
        <v>136</v>
      </c>
    </row>
    <row r="15" spans="1:26" ht="14.25" customHeight="1">
      <c r="A15" s="32">
        <v>8</v>
      </c>
      <c r="B15" s="17" t="s">
        <v>143</v>
      </c>
      <c r="C15" s="18" t="s">
        <v>136</v>
      </c>
      <c r="D15" s="33"/>
    </row>
    <row r="16" spans="1:26" ht="14.25" customHeight="1">
      <c r="A16" s="19">
        <v>9</v>
      </c>
      <c r="B16" s="20" t="s">
        <v>144</v>
      </c>
      <c r="C16" s="21"/>
      <c r="D16" s="21" t="s">
        <v>136</v>
      </c>
    </row>
    <row r="17" spans="1:4" ht="14.25" customHeight="1">
      <c r="A17" s="76" t="s">
        <v>145</v>
      </c>
      <c r="B17" s="98"/>
      <c r="C17" s="23">
        <f>COUNTA('MODELO LISTA DE COMPROBACIO CU7'!$C$8:$C$16)</f>
        <v>6</v>
      </c>
      <c r="D17" s="23">
        <f>COUNTA('MODELO LISTA DE COMPROBACIO CU7'!$D$8:$D$16)</f>
        <v>3</v>
      </c>
    </row>
    <row r="18" spans="1:4" ht="14.25" customHeight="1">
      <c r="A18" s="76" t="s">
        <v>146</v>
      </c>
      <c r="B18" s="98"/>
      <c r="C18" s="24">
        <f>C17/9</f>
        <v>0.66666666666666663</v>
      </c>
      <c r="D18" s="24">
        <f>D17/9</f>
        <v>0.33333333333333331</v>
      </c>
    </row>
    <row r="19" spans="1:4" ht="14.25" customHeight="1">
      <c r="A19" s="22"/>
      <c r="B19" s="22"/>
      <c r="C19" s="24"/>
      <c r="D19" s="23"/>
    </row>
    <row r="20" spans="1:4" ht="14.25" customHeight="1">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 CU7'!$C$22:$C$26)</f>
        <v>5</v>
      </c>
      <c r="D27" s="23">
        <f>COUNTA('MODELO LISTA DE COMPROBACIO CU7'!$D$22:$D$26)</f>
        <v>0</v>
      </c>
    </row>
    <row r="28" spans="1:4" ht="14.25" customHeight="1">
      <c r="A28" s="76" t="s">
        <v>146</v>
      </c>
      <c r="B28" s="98"/>
      <c r="C28" s="24">
        <f>C27/5</f>
        <v>1</v>
      </c>
      <c r="D28" s="24">
        <f>D27/5</f>
        <v>0</v>
      </c>
    </row>
    <row r="29" spans="1:4" ht="14.25" customHeight="1">
      <c r="A29" s="22"/>
      <c r="B29" s="22"/>
      <c r="C29" s="24"/>
      <c r="D29" s="23"/>
    </row>
    <row r="30" spans="1:4" ht="14.25" customHeight="1">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f>COUNTA('MODELO LISTA DE COMPROBACIO CU7'!$C$32:$C$34)</f>
        <v>3</v>
      </c>
      <c r="D35">
        <f>COUNTA('MODELO LISTA DE COMPROBACIO CU7'!$D$32:$D$34)</f>
        <v>0</v>
      </c>
    </row>
    <row r="36" spans="1:4" ht="14.25" customHeight="1">
      <c r="A36" s="76" t="s">
        <v>146</v>
      </c>
      <c r="B36" s="98"/>
      <c r="C36" s="24">
        <f>C35/3</f>
        <v>1</v>
      </c>
      <c r="D36" s="24">
        <f>D35/3</f>
        <v>0</v>
      </c>
    </row>
    <row r="37" spans="1:4" ht="14.25" customHeight="1"/>
    <row r="38" spans="1:4" ht="14.25" customHeight="1"/>
    <row r="39" spans="1:4" ht="14.25" customHeight="1"/>
    <row r="40" spans="1:4" ht="14.25" customHeight="1">
      <c r="A40" s="77" t="s">
        <v>157</v>
      </c>
      <c r="B40" s="98"/>
      <c r="C40" s="98"/>
    </row>
    <row r="41" spans="1:4" ht="30" customHeight="1">
      <c r="B41" s="11" t="s">
        <v>158</v>
      </c>
      <c r="C41" s="23">
        <v>67</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40:C40"/>
    <mergeCell ref="A20:D20"/>
    <mergeCell ref="A27:B27"/>
    <mergeCell ref="A28:B28"/>
    <mergeCell ref="A30:D30"/>
    <mergeCell ref="A35:B35"/>
    <mergeCell ref="A36:B36"/>
    <mergeCell ref="A18:B18"/>
    <mergeCell ref="C1:D1"/>
    <mergeCell ref="C2:D2"/>
    <mergeCell ref="C3:D3"/>
    <mergeCell ref="A6:D6"/>
    <mergeCell ref="A17:B17"/>
  </mergeCells>
  <conditionalFormatting sqref="A32:D34">
    <cfRule type="containsText" dxfId="96" priority="1" operator="containsText" text="X">
      <formula>NOT(ISERROR(SEARCH(("X"),(A32))))</formula>
    </cfRule>
  </conditionalFormatting>
  <conditionalFormatting sqref="C22:C26 C32:D34 C8:D9 D10 C11:D13 C15:D16 C14">
    <cfRule type="containsText" dxfId="95" priority="2" operator="containsText" text="X">
      <formula>NOT(ISERROR(SEARCH(("X"),(C8))))</formula>
    </cfRule>
  </conditionalFormatting>
  <conditionalFormatting sqref="C22:C26 C32:D34 C8:D9 D10 C11:D13 C15:D16 C14">
    <cfRule type="containsText" dxfId="94" priority="3" operator="containsText" text="X">
      <formula>NOT(ISERROR(SEARCH(("X"),(C8))))</formula>
    </cfRule>
  </conditionalFormatting>
  <conditionalFormatting sqref="C22:C26 C32:D34 C8:D9 D10 C11:D13 C15:D16 C14">
    <cfRule type="containsText" dxfId="93" priority="4" operator="containsText" text="X">
      <formula>NOT(ISERROR(SEARCH(("X"),(C8))))</formula>
    </cfRule>
  </conditionalFormatting>
  <conditionalFormatting sqref="C22:C26 C32:D34 C8:D9 D10 C11:D13 C15:D16 C14">
    <cfRule type="containsText" dxfId="92" priority="5" operator="containsText" text="X">
      <formula>NOT(ISERROR(SEARCH(("X"),(C8))))</formula>
    </cfRule>
  </conditionalFormatting>
  <conditionalFormatting sqref="C22:D26">
    <cfRule type="containsText" dxfId="91" priority="6" operator="containsText" text="X">
      <formula>NOT(ISERROR(SEARCH(("X"),(C22))))</formula>
    </cfRule>
  </conditionalFormatting>
  <conditionalFormatting sqref="C22:D26">
    <cfRule type="containsText" dxfId="90" priority="7" operator="containsText" text="X">
      <formula>NOT(ISERROR(SEARCH(("X"),(C22))))</formula>
    </cfRule>
  </conditionalFormatting>
  <conditionalFormatting sqref="C32:D34">
    <cfRule type="containsText" dxfId="89"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9670-C1DA-4F5E-A917-B6D754A0FF3C}">
  <dimension ref="A1:Z1000"/>
  <sheetViews>
    <sheetView workbookViewId="0"/>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128</v>
      </c>
      <c r="D3" s="98"/>
    </row>
    <row r="4" spans="1:26" ht="14.25" customHeight="1">
      <c r="B4" s="13" t="s">
        <v>129</v>
      </c>
      <c r="C4" s="59" t="s">
        <v>11</v>
      </c>
    </row>
    <row r="5" spans="1:26" ht="14.25" customHeight="1"/>
    <row r="6" spans="1:26" ht="14.25" customHeight="1">
      <c r="A6" s="79" t="s">
        <v>130</v>
      </c>
      <c r="B6" s="98"/>
      <c r="C6" s="98"/>
      <c r="D6" s="98"/>
    </row>
    <row r="7" spans="1:26" ht="15" customHeight="1">
      <c r="A7" s="14" t="s">
        <v>131</v>
      </c>
      <c r="B7" s="15" t="s">
        <v>132</v>
      </c>
      <c r="C7" s="15" t="s">
        <v>133</v>
      </c>
      <c r="D7" s="16" t="s">
        <v>134</v>
      </c>
    </row>
    <row r="8" spans="1:26" ht="14.25" customHeight="1">
      <c r="A8" s="32">
        <v>1</v>
      </c>
      <c r="B8" s="17" t="s">
        <v>135</v>
      </c>
      <c r="C8" s="18" t="s">
        <v>136</v>
      </c>
      <c r="D8" s="18"/>
    </row>
    <row r="9" spans="1:26" ht="14.25" customHeight="1">
      <c r="A9" s="32">
        <v>2</v>
      </c>
      <c r="B9" s="17" t="s">
        <v>137</v>
      </c>
      <c r="C9" s="18"/>
      <c r="D9" s="33" t="s">
        <v>136</v>
      </c>
    </row>
    <row r="10" spans="1:26" ht="14.25" customHeight="1">
      <c r="A10" s="32">
        <v>3</v>
      </c>
      <c r="B10" s="17" t="s">
        <v>138</v>
      </c>
      <c r="D10" s="18" t="s">
        <v>136</v>
      </c>
    </row>
    <row r="11" spans="1:26" ht="14.25" customHeight="1">
      <c r="A11" s="32">
        <v>4</v>
      </c>
      <c r="B11" s="17" t="s">
        <v>139</v>
      </c>
      <c r="C11" s="18" t="s">
        <v>136</v>
      </c>
      <c r="D11" s="33"/>
    </row>
    <row r="12" spans="1:26" ht="14.25" customHeight="1">
      <c r="A12" s="32">
        <v>5</v>
      </c>
      <c r="B12" s="17" t="s">
        <v>140</v>
      </c>
      <c r="C12" s="18" t="s">
        <v>136</v>
      </c>
      <c r="D12" s="33"/>
    </row>
    <row r="13" spans="1:26" ht="14.25" customHeight="1">
      <c r="A13" s="32">
        <v>6</v>
      </c>
      <c r="B13" s="17" t="s">
        <v>141</v>
      </c>
      <c r="C13" s="18" t="s">
        <v>136</v>
      </c>
      <c r="D13" s="33"/>
    </row>
    <row r="14" spans="1:26" ht="14.25" customHeight="1">
      <c r="A14" s="32">
        <v>7</v>
      </c>
      <c r="B14" s="17" t="s">
        <v>142</v>
      </c>
      <c r="C14" s="33" t="s">
        <v>136</v>
      </c>
    </row>
    <row r="15" spans="1:26" ht="14.25" customHeight="1">
      <c r="A15" s="32">
        <v>8</v>
      </c>
      <c r="B15" s="17" t="s">
        <v>143</v>
      </c>
      <c r="C15" s="18" t="s">
        <v>136</v>
      </c>
      <c r="D15" s="33"/>
    </row>
    <row r="16" spans="1:26" ht="14.25" customHeight="1">
      <c r="A16" s="19">
        <v>9</v>
      </c>
      <c r="B16" s="20" t="s">
        <v>144</v>
      </c>
      <c r="C16" s="21"/>
      <c r="D16" s="21" t="s">
        <v>136</v>
      </c>
    </row>
    <row r="17" spans="1:4" ht="14.25" customHeight="1">
      <c r="A17" s="76" t="s">
        <v>145</v>
      </c>
      <c r="B17" s="98"/>
      <c r="C17" s="23">
        <f>COUNTA('MODELO LISTA DE COMPROBACIO CU5'!$C$8:$C$16)</f>
        <v>6</v>
      </c>
      <c r="D17" s="23">
        <f>COUNTA('MODELO LISTA DE COMPROBACIO CU5'!$D$8:$D$16)</f>
        <v>3</v>
      </c>
    </row>
    <row r="18" spans="1:4" ht="14.25" customHeight="1">
      <c r="A18" s="76" t="s">
        <v>146</v>
      </c>
      <c r="B18" s="98"/>
      <c r="C18" s="24">
        <f>C17/9</f>
        <v>0.66666666666666663</v>
      </c>
      <c r="D18" s="24">
        <f>D17/9</f>
        <v>0.33333333333333331</v>
      </c>
    </row>
    <row r="19" spans="1:4" ht="14.25" customHeight="1">
      <c r="A19" s="22"/>
      <c r="B19" s="22"/>
      <c r="C19" s="24"/>
      <c r="D19" s="23"/>
    </row>
    <row r="20" spans="1:4" ht="14.25" customHeight="1">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 CU5'!$C$22:$C$26)</f>
        <v>5</v>
      </c>
      <c r="D27" s="23">
        <f>COUNTA('MODELO LISTA DE COMPROBACIO CU5'!$D$22:$D$26)</f>
        <v>0</v>
      </c>
    </row>
    <row r="28" spans="1:4" ht="14.25" customHeight="1">
      <c r="A28" s="76" t="s">
        <v>146</v>
      </c>
      <c r="B28" s="98"/>
      <c r="C28" s="24">
        <f>C27/5</f>
        <v>1</v>
      </c>
      <c r="D28" s="24">
        <f>D27/5</f>
        <v>0</v>
      </c>
    </row>
    <row r="29" spans="1:4" ht="14.25" customHeight="1">
      <c r="A29" s="22"/>
      <c r="B29" s="22"/>
      <c r="C29" s="24"/>
      <c r="D29" s="23"/>
    </row>
    <row r="30" spans="1:4" ht="14.25" customHeight="1">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f>COUNTA('MODELO LISTA DE COMPROBACIO CU5'!$C$32:$C$34)</f>
        <v>3</v>
      </c>
      <c r="D35">
        <f>COUNTA('MODELO LISTA DE COMPROBACIO CU5'!$D$32:$D$34)</f>
        <v>0</v>
      </c>
    </row>
    <row r="36" spans="1:4" ht="14.25" customHeight="1">
      <c r="A36" s="76" t="s">
        <v>146</v>
      </c>
      <c r="B36" s="98"/>
      <c r="C36" s="24">
        <f>C35/3</f>
        <v>1</v>
      </c>
      <c r="D36" s="24">
        <f>D35/3</f>
        <v>0</v>
      </c>
    </row>
    <row r="37" spans="1:4" ht="14.25" customHeight="1"/>
    <row r="38" spans="1:4" ht="14.25" customHeight="1"/>
    <row r="39" spans="1:4" ht="14.25" customHeight="1"/>
    <row r="40" spans="1:4" ht="14.25" customHeight="1">
      <c r="A40" s="77" t="s">
        <v>157</v>
      </c>
      <c r="B40" s="98"/>
      <c r="C40" s="98"/>
    </row>
    <row r="41" spans="1:4" ht="30" customHeight="1">
      <c r="B41" s="11" t="s">
        <v>158</v>
      </c>
      <c r="C41" s="23">
        <v>67</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40:C40"/>
    <mergeCell ref="A20:D20"/>
    <mergeCell ref="A27:B27"/>
    <mergeCell ref="A28:B28"/>
    <mergeCell ref="A30:D30"/>
    <mergeCell ref="A35:B35"/>
    <mergeCell ref="A36:B36"/>
    <mergeCell ref="A18:B18"/>
    <mergeCell ref="C1:D1"/>
    <mergeCell ref="C2:D2"/>
    <mergeCell ref="C3:D3"/>
    <mergeCell ref="A6:D6"/>
    <mergeCell ref="A17:B17"/>
  </mergeCells>
  <conditionalFormatting sqref="A32:D34">
    <cfRule type="containsText" dxfId="88" priority="1" operator="containsText" text="X">
      <formula>NOT(ISERROR(SEARCH(("X"),(A32))))</formula>
    </cfRule>
  </conditionalFormatting>
  <conditionalFormatting sqref="C22:C26 C32:D34 C8:D9 D10 C11:D13 C15:D16 C14">
    <cfRule type="containsText" dxfId="87" priority="2" operator="containsText" text="X">
      <formula>NOT(ISERROR(SEARCH(("X"),(C8))))</formula>
    </cfRule>
  </conditionalFormatting>
  <conditionalFormatting sqref="C22:C26 C32:D34 C8:D9 D10 C11:D13 C15:D16 C14">
    <cfRule type="containsText" dxfId="86" priority="3" operator="containsText" text="X">
      <formula>NOT(ISERROR(SEARCH(("X"),(C8))))</formula>
    </cfRule>
  </conditionalFormatting>
  <conditionalFormatting sqref="C22:C26 C32:D34 C8:D9 D10 C11:D13 C15:D16 C14">
    <cfRule type="containsText" dxfId="85" priority="4" operator="containsText" text="X">
      <formula>NOT(ISERROR(SEARCH(("X"),(C8))))</formula>
    </cfRule>
  </conditionalFormatting>
  <conditionalFormatting sqref="C22:C26 C32:D34 C8:D9 D10 C11:D13 C15:D16 C14">
    <cfRule type="containsText" dxfId="84" priority="5" operator="containsText" text="X">
      <formula>NOT(ISERROR(SEARCH(("X"),(C8))))</formula>
    </cfRule>
  </conditionalFormatting>
  <conditionalFormatting sqref="C22:D26">
    <cfRule type="containsText" dxfId="83" priority="6" operator="containsText" text="X">
      <formula>NOT(ISERROR(SEARCH(("X"),(C22))))</formula>
    </cfRule>
  </conditionalFormatting>
  <conditionalFormatting sqref="C22:D26">
    <cfRule type="containsText" dxfId="82" priority="7" operator="containsText" text="X">
      <formula>NOT(ISERROR(SEARCH(("X"),(C22))))</formula>
    </cfRule>
  </conditionalFormatting>
  <conditionalFormatting sqref="C32:D34">
    <cfRule type="containsText" dxfId="81"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5F44-0BEB-479E-8BD5-BB1D2594467E}">
  <dimension ref="A1:Z1000"/>
  <sheetViews>
    <sheetView workbookViewId="0"/>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128</v>
      </c>
      <c r="D3" s="98"/>
    </row>
    <row r="4" spans="1:26" ht="14.25" customHeight="1">
      <c r="B4" s="13" t="s">
        <v>129</v>
      </c>
      <c r="C4" t="s">
        <v>9</v>
      </c>
    </row>
    <row r="5" spans="1:26" ht="14.25" customHeight="1"/>
    <row r="6" spans="1:26" ht="14.25" customHeight="1">
      <c r="A6" s="79" t="s">
        <v>130</v>
      </c>
      <c r="B6" s="98"/>
      <c r="C6" s="98"/>
      <c r="D6" s="98"/>
    </row>
    <row r="7" spans="1:26" ht="15" customHeight="1">
      <c r="A7" s="14" t="s">
        <v>131</v>
      </c>
      <c r="B7" s="15" t="s">
        <v>132</v>
      </c>
      <c r="C7" s="15" t="s">
        <v>133</v>
      </c>
      <c r="D7" s="16" t="s">
        <v>134</v>
      </c>
    </row>
    <row r="8" spans="1:26" ht="14.25" customHeight="1">
      <c r="A8" s="32">
        <v>1</v>
      </c>
      <c r="B8" s="17" t="s">
        <v>135</v>
      </c>
      <c r="C8" s="18" t="s">
        <v>136</v>
      </c>
      <c r="D8" s="18"/>
    </row>
    <row r="9" spans="1:26" ht="14.25" customHeight="1">
      <c r="A9" s="32">
        <v>2</v>
      </c>
      <c r="B9" s="17" t="s">
        <v>137</v>
      </c>
      <c r="C9" s="18"/>
      <c r="D9" s="33" t="s">
        <v>136</v>
      </c>
    </row>
    <row r="10" spans="1:26" ht="14.25" customHeight="1">
      <c r="A10" s="32">
        <v>3</v>
      </c>
      <c r="B10" s="17" t="s">
        <v>138</v>
      </c>
      <c r="D10" s="18" t="s">
        <v>136</v>
      </c>
    </row>
    <row r="11" spans="1:26" ht="14.25" customHeight="1">
      <c r="A11" s="32">
        <v>4</v>
      </c>
      <c r="B11" s="17" t="s">
        <v>139</v>
      </c>
      <c r="C11" s="18" t="s">
        <v>136</v>
      </c>
      <c r="D11" s="33"/>
    </row>
    <row r="12" spans="1:26" ht="14.25" customHeight="1">
      <c r="A12" s="32">
        <v>5</v>
      </c>
      <c r="B12" s="17" t="s">
        <v>140</v>
      </c>
      <c r="C12" s="18" t="s">
        <v>136</v>
      </c>
      <c r="D12" s="33"/>
    </row>
    <row r="13" spans="1:26" ht="14.25" customHeight="1">
      <c r="A13" s="32">
        <v>6</v>
      </c>
      <c r="B13" s="17" t="s">
        <v>141</v>
      </c>
      <c r="C13" s="18" t="s">
        <v>136</v>
      </c>
      <c r="D13" s="33"/>
    </row>
    <row r="14" spans="1:26" ht="14.25" customHeight="1">
      <c r="A14" s="32">
        <v>7</v>
      </c>
      <c r="B14" s="17" t="s">
        <v>142</v>
      </c>
      <c r="C14" s="33" t="s">
        <v>136</v>
      </c>
    </row>
    <row r="15" spans="1:26" ht="14.25" customHeight="1">
      <c r="A15" s="32">
        <v>8</v>
      </c>
      <c r="B15" s="17" t="s">
        <v>143</v>
      </c>
      <c r="C15" s="18" t="s">
        <v>136</v>
      </c>
      <c r="D15" s="33"/>
    </row>
    <row r="16" spans="1:26" ht="14.25" customHeight="1">
      <c r="A16" s="19">
        <v>9</v>
      </c>
      <c r="B16" s="20" t="s">
        <v>144</v>
      </c>
      <c r="C16" s="21"/>
      <c r="D16" s="21" t="s">
        <v>136</v>
      </c>
    </row>
    <row r="17" spans="1:4" ht="14.25" customHeight="1">
      <c r="A17" s="76" t="s">
        <v>145</v>
      </c>
      <c r="B17" s="98"/>
      <c r="C17" s="23">
        <f>COUNTA('MODELO LISTA DE COMPROBACIO CU3'!$C$8:$C$16)</f>
        <v>6</v>
      </c>
      <c r="D17" s="23">
        <f>COUNTA('MODELO LISTA DE COMPROBACIO CU3'!$D$8:$D$16)</f>
        <v>3</v>
      </c>
    </row>
    <row r="18" spans="1:4" ht="14.25" customHeight="1">
      <c r="A18" s="76" t="s">
        <v>146</v>
      </c>
      <c r="B18" s="98"/>
      <c r="C18" s="24">
        <f t="shared" ref="C18:D18" si="0">C17/9</f>
        <v>0.66666666666666663</v>
      </c>
      <c r="D18" s="24">
        <f t="shared" si="0"/>
        <v>0.33333333333333331</v>
      </c>
    </row>
    <row r="19" spans="1:4" ht="14.25" customHeight="1">
      <c r="A19" s="22"/>
      <c r="B19" s="22"/>
      <c r="C19" s="24"/>
      <c r="D19" s="23"/>
    </row>
    <row r="20" spans="1:4" ht="14.25" customHeight="1">
      <c r="A20" s="78" t="s">
        <v>147</v>
      </c>
      <c r="B20" s="104"/>
      <c r="C20" s="104"/>
      <c r="D20" s="104"/>
    </row>
    <row r="21" spans="1:4" ht="14.25" customHeight="1">
      <c r="A21" s="34" t="s">
        <v>131</v>
      </c>
      <c r="B21" s="35" t="s">
        <v>132</v>
      </c>
      <c r="C21" s="36" t="s">
        <v>133</v>
      </c>
      <c r="D21" s="37" t="s">
        <v>134</v>
      </c>
    </row>
    <row r="22" spans="1:4" ht="14.25" customHeight="1">
      <c r="A22" s="32">
        <v>1</v>
      </c>
      <c r="B22" s="17" t="s">
        <v>148</v>
      </c>
      <c r="C22" s="21" t="s">
        <v>136</v>
      </c>
      <c r="D22" s="33"/>
    </row>
    <row r="23" spans="1:4" ht="14.25" customHeight="1">
      <c r="A23" s="32">
        <v>2</v>
      </c>
      <c r="B23" s="17" t="s">
        <v>149</v>
      </c>
      <c r="C23" s="21" t="s">
        <v>136</v>
      </c>
      <c r="D23" s="33"/>
    </row>
    <row r="24" spans="1:4" ht="14.25" customHeight="1">
      <c r="A24" s="32">
        <v>3</v>
      </c>
      <c r="B24" s="17" t="s">
        <v>150</v>
      </c>
      <c r="C24" s="21" t="s">
        <v>136</v>
      </c>
      <c r="D24" s="33"/>
    </row>
    <row r="25" spans="1:4" ht="14.25" customHeight="1">
      <c r="A25" s="32">
        <v>4</v>
      </c>
      <c r="B25" s="17" t="s">
        <v>151</v>
      </c>
      <c r="C25" s="21" t="s">
        <v>136</v>
      </c>
      <c r="D25" s="33"/>
    </row>
    <row r="26" spans="1:4" ht="14.25" customHeight="1">
      <c r="A26" s="19">
        <v>5</v>
      </c>
      <c r="B26" s="20" t="s">
        <v>152</v>
      </c>
      <c r="C26" s="21" t="s">
        <v>136</v>
      </c>
      <c r="D26" s="25"/>
    </row>
    <row r="27" spans="1:4" ht="14.25" customHeight="1">
      <c r="A27" s="76" t="s">
        <v>145</v>
      </c>
      <c r="B27" s="98"/>
      <c r="C27" s="23">
        <f>COUNTA('MODELO LISTA DE COMPROBACIO CU3'!$C$22:$C$26)</f>
        <v>5</v>
      </c>
      <c r="D27" s="23">
        <f>COUNTA('MODELO LISTA DE COMPROBACIO CU3'!$D$22:$D$26)</f>
        <v>0</v>
      </c>
    </row>
    <row r="28" spans="1:4" ht="14.25" customHeight="1">
      <c r="A28" s="76" t="s">
        <v>146</v>
      </c>
      <c r="B28" s="98"/>
      <c r="C28" s="24">
        <f t="shared" ref="C28:D28" si="1">C27/5</f>
        <v>1</v>
      </c>
      <c r="D28" s="24">
        <f t="shared" si="1"/>
        <v>0</v>
      </c>
    </row>
    <row r="29" spans="1:4" ht="14.25" customHeight="1">
      <c r="A29" s="22"/>
      <c r="B29" s="22"/>
      <c r="C29" s="24"/>
      <c r="D29" s="23"/>
    </row>
    <row r="30" spans="1:4" ht="14.25" customHeight="1">
      <c r="A30" s="79" t="s">
        <v>153</v>
      </c>
      <c r="B30" s="98"/>
      <c r="C30" s="98"/>
      <c r="D30" s="98"/>
    </row>
    <row r="31" spans="1:4" ht="14.25" customHeight="1">
      <c r="A31" s="34" t="s">
        <v>131</v>
      </c>
      <c r="B31" s="35" t="s">
        <v>132</v>
      </c>
      <c r="C31" s="36" t="s">
        <v>133</v>
      </c>
      <c r="D31" s="37" t="s">
        <v>134</v>
      </c>
    </row>
    <row r="32" spans="1:4" ht="14.25" customHeight="1">
      <c r="A32" s="32">
        <v>1</v>
      </c>
      <c r="B32" s="17" t="s">
        <v>154</v>
      </c>
      <c r="C32" s="21" t="s">
        <v>136</v>
      </c>
      <c r="D32" s="21"/>
    </row>
    <row r="33" spans="1:4" ht="14.25" customHeight="1">
      <c r="A33" s="32">
        <v>2</v>
      </c>
      <c r="B33" s="17" t="s">
        <v>155</v>
      </c>
      <c r="C33" s="21" t="s">
        <v>136</v>
      </c>
      <c r="D33" s="21"/>
    </row>
    <row r="34" spans="1:4" ht="14.25" customHeight="1">
      <c r="A34" s="19">
        <v>3</v>
      </c>
      <c r="B34" s="20" t="s">
        <v>156</v>
      </c>
      <c r="C34" s="21" t="s">
        <v>136</v>
      </c>
      <c r="D34" s="21"/>
    </row>
    <row r="35" spans="1:4" ht="14.25" customHeight="1">
      <c r="A35" s="76" t="s">
        <v>145</v>
      </c>
      <c r="B35" s="98"/>
      <c r="C35" s="7">
        <f>COUNTA('MODELO LISTA DE COMPROBACIO CU3'!$C$32:$C$34)</f>
        <v>3</v>
      </c>
      <c r="D35" s="7">
        <f>COUNTA('MODELO LISTA DE COMPROBACIO CU3'!$D$32:$D$34)</f>
        <v>0</v>
      </c>
    </row>
    <row r="36" spans="1:4" ht="14.25" customHeight="1">
      <c r="A36" s="76" t="s">
        <v>146</v>
      </c>
      <c r="B36" s="98"/>
      <c r="C36" s="24">
        <f t="shared" ref="C36:D36" si="2">C35/3</f>
        <v>1</v>
      </c>
      <c r="D36" s="24">
        <f t="shared" si="2"/>
        <v>0</v>
      </c>
    </row>
    <row r="37" spans="1:4" ht="14.25" customHeight="1"/>
    <row r="38" spans="1:4" ht="14.25" customHeight="1"/>
    <row r="39" spans="1:4" ht="14.25" customHeight="1"/>
    <row r="40" spans="1:4" ht="14.25" customHeight="1">
      <c r="A40" s="77" t="s">
        <v>157</v>
      </c>
      <c r="B40" s="98"/>
      <c r="C40" s="98"/>
    </row>
    <row r="41" spans="1:4" ht="30" customHeight="1">
      <c r="B41" s="11" t="s">
        <v>158</v>
      </c>
      <c r="C41" s="23">
        <v>67</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C1:D1"/>
    <mergeCell ref="C2:D2"/>
    <mergeCell ref="C3:D3"/>
    <mergeCell ref="A6:D6"/>
    <mergeCell ref="A17:B17"/>
    <mergeCell ref="A36:B36"/>
    <mergeCell ref="A40:C40"/>
    <mergeCell ref="A18:B18"/>
    <mergeCell ref="A20:D20"/>
    <mergeCell ref="A27:B27"/>
    <mergeCell ref="A28:B28"/>
    <mergeCell ref="A30:D30"/>
    <mergeCell ref="A35:B35"/>
  </mergeCells>
  <conditionalFormatting sqref="A32:D34">
    <cfRule type="containsText" dxfId="80" priority="1" operator="containsText" text="X">
      <formula>NOT(ISERROR(SEARCH(("X"),(A32))))</formula>
    </cfRule>
  </conditionalFormatting>
  <conditionalFormatting sqref="C22:C26 C32:D34 C8:D9 D10 C11:D13 C15:D16 C14">
    <cfRule type="containsText" dxfId="79" priority="2" operator="containsText" text="X">
      <formula>NOT(ISERROR(SEARCH(("X"),(C8))))</formula>
    </cfRule>
  </conditionalFormatting>
  <conditionalFormatting sqref="C22:C26 C32:D34 C8:D9 D10 C11:D13 C15:D16 C14">
    <cfRule type="containsText" dxfId="78" priority="3" operator="containsText" text="X">
      <formula>NOT(ISERROR(SEARCH(("X"),(C8))))</formula>
    </cfRule>
  </conditionalFormatting>
  <conditionalFormatting sqref="C22:C26 C32:D34 C8:D9 D10 C11:D13 C15:D16 C14">
    <cfRule type="containsText" dxfId="77" priority="4" operator="containsText" text="X">
      <formula>NOT(ISERROR(SEARCH(("X"),(C8))))</formula>
    </cfRule>
  </conditionalFormatting>
  <conditionalFormatting sqref="C22:C26 C32:D34 C8:D9 D10 C11:D13 C15:D16 C14">
    <cfRule type="containsText" dxfId="76" priority="5" operator="containsText" text="X">
      <formula>NOT(ISERROR(SEARCH(("X"),(C8))))</formula>
    </cfRule>
  </conditionalFormatting>
  <conditionalFormatting sqref="C22:D26">
    <cfRule type="containsText" dxfId="75" priority="6" operator="containsText" text="X">
      <formula>NOT(ISERROR(SEARCH(("X"),(C22))))</formula>
    </cfRule>
  </conditionalFormatting>
  <conditionalFormatting sqref="C22:D26">
    <cfRule type="containsText" dxfId="74" priority="7" operator="containsText" text="X">
      <formula>NOT(ISERROR(SEARCH(("X"),(C22))))</formula>
    </cfRule>
  </conditionalFormatting>
  <conditionalFormatting sqref="C32:D34">
    <cfRule type="containsText" dxfId="73"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CE9A-833B-4FAF-9E80-99487A03DC1B}">
  <dimension ref="A1:Z1000"/>
  <sheetViews>
    <sheetView workbookViewId="0"/>
  </sheetViews>
  <sheetFormatPr defaultColWidth="14.42578125" defaultRowHeight="15" customHeight="1"/>
  <cols>
    <col min="1" max="1" width="10.7109375" customWidth="1"/>
    <col min="2" max="2" width="38.8554687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159</v>
      </c>
      <c r="D3" s="98"/>
    </row>
    <row r="4" spans="1:26" ht="14.25" customHeight="1">
      <c r="B4" s="13" t="s">
        <v>129</v>
      </c>
      <c r="C4" s="82" t="s">
        <v>168</v>
      </c>
      <c r="D4" s="98"/>
    </row>
    <row r="5" spans="1:26" ht="14.25" customHeight="1"/>
    <row r="6" spans="1:26" ht="14.25" customHeight="1">
      <c r="A6" s="96" t="s">
        <v>130</v>
      </c>
      <c r="B6" s="105"/>
      <c r="C6" s="105"/>
      <c r="D6" s="105"/>
    </row>
    <row r="7" spans="1:26" ht="15" customHeight="1">
      <c r="A7" s="50" t="s">
        <v>131</v>
      </c>
      <c r="B7" s="50" t="s">
        <v>132</v>
      </c>
      <c r="C7" s="50" t="s">
        <v>133</v>
      </c>
      <c r="D7" s="50" t="s">
        <v>134</v>
      </c>
    </row>
    <row r="8" spans="1:26" ht="14.25" customHeight="1">
      <c r="A8" s="18">
        <v>1</v>
      </c>
      <c r="B8" s="17" t="s">
        <v>135</v>
      </c>
      <c r="C8" s="51"/>
      <c r="D8" s="18" t="s">
        <v>136</v>
      </c>
    </row>
    <row r="9" spans="1:26" ht="14.25" customHeight="1">
      <c r="A9" s="18">
        <v>2</v>
      </c>
      <c r="B9" s="17" t="s">
        <v>137</v>
      </c>
      <c r="C9" s="18"/>
      <c r="D9" s="18" t="s">
        <v>136</v>
      </c>
    </row>
    <row r="10" spans="1:26" ht="14.25" customHeight="1">
      <c r="A10" s="18">
        <v>3</v>
      </c>
      <c r="B10" s="17" t="s">
        <v>138</v>
      </c>
      <c r="C10" s="51"/>
      <c r="D10" s="18" t="s">
        <v>136</v>
      </c>
    </row>
    <row r="11" spans="1:26" ht="14.25" customHeight="1">
      <c r="A11" s="18">
        <v>4</v>
      </c>
      <c r="B11" s="17" t="s">
        <v>139</v>
      </c>
      <c r="C11" s="18" t="s">
        <v>136</v>
      </c>
      <c r="D11" s="18"/>
    </row>
    <row r="12" spans="1:26" ht="14.25" customHeight="1">
      <c r="A12" s="18">
        <v>5</v>
      </c>
      <c r="B12" s="17" t="s">
        <v>140</v>
      </c>
      <c r="C12" s="18" t="s">
        <v>136</v>
      </c>
      <c r="D12" s="18"/>
    </row>
    <row r="13" spans="1:26" ht="14.25" customHeight="1">
      <c r="A13" s="18">
        <v>6</v>
      </c>
      <c r="B13" s="17" t="s">
        <v>141</v>
      </c>
      <c r="C13" s="18" t="s">
        <v>136</v>
      </c>
      <c r="D13" s="18"/>
    </row>
    <row r="14" spans="1:26" ht="14.25" customHeight="1">
      <c r="A14" s="18">
        <v>7</v>
      </c>
      <c r="B14" s="17" t="s">
        <v>142</v>
      </c>
      <c r="C14" s="18"/>
      <c r="D14" s="18" t="s">
        <v>136</v>
      </c>
    </row>
    <row r="15" spans="1:26" ht="14.25" customHeight="1">
      <c r="A15" s="18">
        <v>8</v>
      </c>
      <c r="B15" s="17" t="s">
        <v>143</v>
      </c>
      <c r="C15" s="18" t="s">
        <v>136</v>
      </c>
      <c r="D15" s="18"/>
    </row>
    <row r="16" spans="1:26" ht="14.25" customHeight="1">
      <c r="A16" s="18">
        <v>9</v>
      </c>
      <c r="B16" s="17" t="s">
        <v>144</v>
      </c>
      <c r="C16" s="18"/>
      <c r="D16" s="18" t="s">
        <v>136</v>
      </c>
    </row>
    <row r="17" spans="1:4" ht="14.25" customHeight="1">
      <c r="A17" s="95" t="s">
        <v>145</v>
      </c>
      <c r="B17" s="105"/>
      <c r="C17" s="52">
        <f>COUNTA('MODELO LISTA DE COMPROBACIO CU9'!$C$8:$C$16)</f>
        <v>4</v>
      </c>
      <c r="D17" s="52">
        <f>COUNTA('MODELO LISTA DE COMPROBACIO CU9'!$D$8:$D$16)</f>
        <v>5</v>
      </c>
    </row>
    <row r="18" spans="1:4" ht="14.25" customHeight="1">
      <c r="A18" s="95" t="s">
        <v>146</v>
      </c>
      <c r="B18" s="105"/>
      <c r="C18" s="53">
        <f>C17/9</f>
        <v>0.44444444444444442</v>
      </c>
      <c r="D18" s="53">
        <f>D17/9</f>
        <v>0.55555555555555558</v>
      </c>
    </row>
    <row r="19" spans="1:4" ht="14.25" customHeight="1">
      <c r="A19" s="22"/>
      <c r="B19" s="22"/>
      <c r="C19" s="24"/>
      <c r="D19" s="23"/>
    </row>
    <row r="20" spans="1:4" ht="14.25" customHeight="1">
      <c r="A20" s="96" t="s">
        <v>147</v>
      </c>
      <c r="B20" s="106"/>
      <c r="C20" s="106"/>
      <c r="D20" s="106"/>
    </row>
    <row r="21" spans="1:4" ht="14.25" customHeight="1">
      <c r="A21" s="54" t="s">
        <v>131</v>
      </c>
      <c r="B21" s="54" t="s">
        <v>132</v>
      </c>
      <c r="C21" s="55" t="s">
        <v>133</v>
      </c>
      <c r="D21" s="55" t="s">
        <v>134</v>
      </c>
    </row>
    <row r="22" spans="1:4" ht="14.25" customHeight="1">
      <c r="A22" s="18">
        <v>1</v>
      </c>
      <c r="B22" s="17" t="s">
        <v>148</v>
      </c>
      <c r="C22" s="18" t="s">
        <v>136</v>
      </c>
      <c r="D22" s="18"/>
    </row>
    <row r="23" spans="1:4" ht="14.25" customHeight="1">
      <c r="A23" s="18">
        <v>2</v>
      </c>
      <c r="B23" s="17" t="s">
        <v>149</v>
      </c>
      <c r="C23" s="18" t="s">
        <v>136</v>
      </c>
      <c r="D23" s="18"/>
    </row>
    <row r="24" spans="1:4" ht="14.25" customHeight="1">
      <c r="A24" s="18">
        <v>3</v>
      </c>
      <c r="B24" s="17" t="s">
        <v>150</v>
      </c>
      <c r="C24" s="18"/>
      <c r="D24" s="18" t="s">
        <v>136</v>
      </c>
    </row>
    <row r="25" spans="1:4" ht="14.25" customHeight="1">
      <c r="A25" s="18">
        <v>4</v>
      </c>
      <c r="B25" s="17" t="s">
        <v>151</v>
      </c>
      <c r="C25" s="18" t="s">
        <v>136</v>
      </c>
      <c r="D25" s="18"/>
    </row>
    <row r="26" spans="1:4" ht="14.25" customHeight="1">
      <c r="A26" s="18">
        <v>5</v>
      </c>
      <c r="B26" s="17" t="s">
        <v>152</v>
      </c>
      <c r="C26" s="18" t="s">
        <v>136</v>
      </c>
      <c r="D26" s="18"/>
    </row>
    <row r="27" spans="1:4" ht="14.25" customHeight="1">
      <c r="A27" s="95" t="s">
        <v>145</v>
      </c>
      <c r="B27" s="105"/>
      <c r="C27" s="52">
        <f>COUNTA('MODELO LISTA DE COMPROBACIO CU9'!$C$22:$C$26)</f>
        <v>4</v>
      </c>
      <c r="D27" s="52">
        <f>COUNTA('MODELO LISTA DE COMPROBACIO CU9'!$D$22:$D$26)</f>
        <v>1</v>
      </c>
    </row>
    <row r="28" spans="1:4" ht="14.25" customHeight="1">
      <c r="A28" s="95" t="s">
        <v>146</v>
      </c>
      <c r="B28" s="105"/>
      <c r="C28" s="53">
        <f>C27/5</f>
        <v>0.8</v>
      </c>
      <c r="D28" s="53">
        <f>D27/5</f>
        <v>0.2</v>
      </c>
    </row>
    <row r="29" spans="1:4" ht="14.25" customHeight="1">
      <c r="A29" s="22"/>
      <c r="B29" s="22"/>
      <c r="C29" s="24"/>
      <c r="D29" s="23"/>
    </row>
    <row r="30" spans="1:4" ht="14.25" customHeight="1">
      <c r="A30" s="97" t="s">
        <v>153</v>
      </c>
      <c r="B30" s="105"/>
      <c r="C30" s="105"/>
      <c r="D30" s="105"/>
    </row>
    <row r="31" spans="1:4" ht="14.25" customHeight="1">
      <c r="A31" s="56" t="s">
        <v>131</v>
      </c>
      <c r="B31" s="56" t="s">
        <v>132</v>
      </c>
      <c r="C31" s="57" t="s">
        <v>133</v>
      </c>
      <c r="D31" s="57" t="s">
        <v>134</v>
      </c>
    </row>
    <row r="32" spans="1:4" ht="14.25" customHeight="1">
      <c r="A32" s="18">
        <v>1</v>
      </c>
      <c r="B32" s="17" t="s">
        <v>154</v>
      </c>
      <c r="C32" s="18" t="s">
        <v>136</v>
      </c>
      <c r="D32" s="18"/>
    </row>
    <row r="33" spans="1:4" ht="14.25" customHeight="1">
      <c r="A33" s="18">
        <v>2</v>
      </c>
      <c r="B33" s="17" t="s">
        <v>155</v>
      </c>
      <c r="C33" s="18" t="s">
        <v>136</v>
      </c>
      <c r="D33" s="18"/>
    </row>
    <row r="34" spans="1:4" ht="14.25" customHeight="1">
      <c r="A34" s="18">
        <v>3</v>
      </c>
      <c r="B34" s="17" t="s">
        <v>156</v>
      </c>
      <c r="C34" s="18" t="s">
        <v>136</v>
      </c>
      <c r="D34" s="18"/>
    </row>
    <row r="35" spans="1:4" ht="14.25" customHeight="1">
      <c r="A35" s="94" t="s">
        <v>145</v>
      </c>
      <c r="B35" s="105"/>
      <c r="C35" s="51">
        <f>COUNTA('MODELO LISTA DE COMPROBACIO CU9'!$C$32:$C$34)</f>
        <v>3</v>
      </c>
      <c r="D35" s="51">
        <f>COUNTA('MODELO LISTA DE COMPROBACIO CU9'!$D$32:$D$34)</f>
        <v>0</v>
      </c>
    </row>
    <row r="36" spans="1:4" ht="14.25" customHeight="1">
      <c r="A36" s="94" t="s">
        <v>146</v>
      </c>
      <c r="B36" s="105"/>
      <c r="C36" s="53">
        <f>C35/3</f>
        <v>1</v>
      </c>
      <c r="D36" s="53">
        <f>D35/3</f>
        <v>0</v>
      </c>
    </row>
    <row r="37" spans="1:4" ht="14.25" customHeight="1"/>
    <row r="38" spans="1:4" ht="14.25" customHeight="1"/>
    <row r="39" spans="1:4" ht="14.25" customHeight="1"/>
    <row r="40" spans="1:4" ht="14.25" customHeight="1">
      <c r="A40" s="77" t="s">
        <v>157</v>
      </c>
      <c r="B40" s="98"/>
      <c r="C40" s="98"/>
    </row>
    <row r="41" spans="1:4" ht="30" customHeight="1">
      <c r="B41" s="11" t="s">
        <v>158</v>
      </c>
      <c r="C41" s="23">
        <v>56</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72" priority="1" operator="containsText" text="X">
      <formula>NOT(ISERROR(SEARCH(("X"),(A32))))</formula>
    </cfRule>
  </conditionalFormatting>
  <conditionalFormatting sqref="C32:D34 D8 C22:D26 C9:D9 C11:D16 D10">
    <cfRule type="containsText" dxfId="71" priority="2" operator="containsText" text="X">
      <formula>NOT(ISERROR(SEARCH(("X"),(C8))))</formula>
    </cfRule>
  </conditionalFormatting>
  <conditionalFormatting sqref="C32:D34 D8 C22:D26 C9:D9 C11:D16 D10">
    <cfRule type="containsText" dxfId="70" priority="3" operator="containsText" text="X">
      <formula>NOT(ISERROR(SEARCH(("X"),(C8))))</formula>
    </cfRule>
  </conditionalFormatting>
  <conditionalFormatting sqref="C32:D34 D8 C22:C23 C25:C26 D24 C9:D9 C11:D16 D10">
    <cfRule type="containsText" dxfId="69" priority="4" operator="containsText" text="X">
      <formula>NOT(ISERROR(SEARCH(("X"),(C8))))</formula>
    </cfRule>
  </conditionalFormatting>
  <conditionalFormatting sqref="C32:D34 D8 C22:C23 C25:C26 D24 C9:D9 C11:D16 D10">
    <cfRule type="containsText" dxfId="68" priority="5" operator="containsText" text="X">
      <formula>NOT(ISERROR(SEARCH(("X"),(C8))))</formula>
    </cfRule>
  </conditionalFormatting>
  <conditionalFormatting sqref="C32:D34">
    <cfRule type="containsText" dxfId="67" priority="6"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785E-6B46-48F5-8E2A-0321D26C74E7}">
  <dimension ref="A1:Z1000"/>
  <sheetViews>
    <sheetView workbookViewId="0"/>
  </sheetViews>
  <sheetFormatPr defaultColWidth="14.42578125" defaultRowHeight="15" customHeight="1"/>
  <cols>
    <col min="1" max="1" width="10.7109375" customWidth="1"/>
    <col min="2" max="2" width="38.8554687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159</v>
      </c>
      <c r="D3" s="98"/>
    </row>
    <row r="4" spans="1:26" ht="14.25" customHeight="1">
      <c r="B4" s="13" t="s">
        <v>129</v>
      </c>
      <c r="C4" s="82" t="s">
        <v>169</v>
      </c>
      <c r="D4" s="98"/>
    </row>
    <row r="5" spans="1:26" ht="14.25" customHeight="1"/>
    <row r="6" spans="1:26" ht="14.25" customHeight="1">
      <c r="A6" s="96" t="s">
        <v>130</v>
      </c>
      <c r="B6" s="105"/>
      <c r="C6" s="105"/>
      <c r="D6" s="105"/>
    </row>
    <row r="7" spans="1:26" ht="15" customHeight="1">
      <c r="A7" s="50" t="s">
        <v>131</v>
      </c>
      <c r="B7" s="50" t="s">
        <v>132</v>
      </c>
      <c r="C7" s="50" t="s">
        <v>133</v>
      </c>
      <c r="D7" s="50" t="s">
        <v>134</v>
      </c>
    </row>
    <row r="8" spans="1:26" ht="14.25" customHeight="1">
      <c r="A8" s="18">
        <v>1</v>
      </c>
      <c r="B8" s="17" t="s">
        <v>135</v>
      </c>
      <c r="C8" s="51"/>
      <c r="D8" s="18" t="s">
        <v>136</v>
      </c>
    </row>
    <row r="9" spans="1:26" ht="14.25" customHeight="1">
      <c r="A9" s="18">
        <v>2</v>
      </c>
      <c r="B9" s="17" t="s">
        <v>137</v>
      </c>
      <c r="C9" s="18"/>
      <c r="D9" s="18" t="s">
        <v>136</v>
      </c>
    </row>
    <row r="10" spans="1:26" ht="14.25" customHeight="1">
      <c r="A10" s="18">
        <v>3</v>
      </c>
      <c r="B10" s="17" t="s">
        <v>138</v>
      </c>
      <c r="C10" s="51"/>
      <c r="D10" s="18" t="s">
        <v>136</v>
      </c>
    </row>
    <row r="11" spans="1:26" ht="14.25" customHeight="1">
      <c r="A11" s="18">
        <v>4</v>
      </c>
      <c r="B11" s="17" t="s">
        <v>139</v>
      </c>
      <c r="C11" s="51"/>
      <c r="D11" s="18" t="s">
        <v>136</v>
      </c>
    </row>
    <row r="12" spans="1:26" ht="14.25" customHeight="1">
      <c r="A12" s="18">
        <v>5</v>
      </c>
      <c r="B12" s="17" t="s">
        <v>140</v>
      </c>
      <c r="C12" s="18" t="s">
        <v>136</v>
      </c>
      <c r="D12" s="18"/>
    </row>
    <row r="13" spans="1:26" ht="14.25" customHeight="1">
      <c r="A13" s="18">
        <v>6</v>
      </c>
      <c r="B13" s="17" t="s">
        <v>141</v>
      </c>
      <c r="C13" s="18" t="s">
        <v>136</v>
      </c>
      <c r="D13" s="18"/>
    </row>
    <row r="14" spans="1:26" ht="14.25" customHeight="1">
      <c r="A14" s="18">
        <v>7</v>
      </c>
      <c r="B14" s="17" t="s">
        <v>142</v>
      </c>
      <c r="C14" s="18"/>
      <c r="D14" s="18" t="s">
        <v>136</v>
      </c>
    </row>
    <row r="15" spans="1:26" ht="14.25" customHeight="1">
      <c r="A15" s="18">
        <v>8</v>
      </c>
      <c r="B15" s="17" t="s">
        <v>143</v>
      </c>
      <c r="C15" s="18" t="s">
        <v>136</v>
      </c>
      <c r="D15" s="18"/>
    </row>
    <row r="16" spans="1:26" ht="14.25" customHeight="1">
      <c r="A16" s="18">
        <v>9</v>
      </c>
      <c r="B16" s="17" t="s">
        <v>144</v>
      </c>
      <c r="C16" s="18"/>
      <c r="D16" s="18" t="s">
        <v>136</v>
      </c>
    </row>
    <row r="17" spans="1:4" ht="14.25" customHeight="1">
      <c r="A17" s="95" t="s">
        <v>145</v>
      </c>
      <c r="B17" s="105"/>
      <c r="C17" s="52">
        <f>COUNTA('MODELO LISTA DE COMPROBACIOCU12'!$C$8:$C$16)</f>
        <v>3</v>
      </c>
      <c r="D17" s="52">
        <f>COUNTA('MODELO LISTA DE COMPROBACIOCU12'!$D$8:$D$16)</f>
        <v>6</v>
      </c>
    </row>
    <row r="18" spans="1:4" ht="14.25" customHeight="1">
      <c r="A18" s="95" t="s">
        <v>146</v>
      </c>
      <c r="B18" s="105"/>
      <c r="C18" s="53">
        <f>C17/9</f>
        <v>0.33333333333333331</v>
      </c>
      <c r="D18" s="53">
        <f>D17/9</f>
        <v>0.66666666666666663</v>
      </c>
    </row>
    <row r="19" spans="1:4" ht="14.25" customHeight="1">
      <c r="A19" s="22"/>
      <c r="B19" s="22"/>
      <c r="C19" s="24"/>
      <c r="D19" s="23"/>
    </row>
    <row r="20" spans="1:4" ht="14.25" customHeight="1">
      <c r="A20" s="96" t="s">
        <v>147</v>
      </c>
      <c r="B20" s="106"/>
      <c r="C20" s="106"/>
      <c r="D20" s="106"/>
    </row>
    <row r="21" spans="1:4" ht="14.25" customHeight="1">
      <c r="A21" s="54" t="s">
        <v>131</v>
      </c>
      <c r="B21" s="54" t="s">
        <v>132</v>
      </c>
      <c r="C21" s="55" t="s">
        <v>133</v>
      </c>
      <c r="D21" s="55" t="s">
        <v>134</v>
      </c>
    </row>
    <row r="22" spans="1:4" ht="14.25" customHeight="1">
      <c r="A22" s="18">
        <v>1</v>
      </c>
      <c r="B22" s="17" t="s">
        <v>148</v>
      </c>
      <c r="C22" s="18" t="s">
        <v>136</v>
      </c>
      <c r="D22" s="18"/>
    </row>
    <row r="23" spans="1:4" ht="14.25" customHeight="1">
      <c r="A23" s="18">
        <v>2</v>
      </c>
      <c r="B23" s="17" t="s">
        <v>149</v>
      </c>
      <c r="C23" s="18" t="s">
        <v>136</v>
      </c>
      <c r="D23" s="18"/>
    </row>
    <row r="24" spans="1:4" ht="14.25" customHeight="1">
      <c r="A24" s="18">
        <v>3</v>
      </c>
      <c r="B24" s="17" t="s">
        <v>150</v>
      </c>
      <c r="C24" s="18"/>
      <c r="D24" s="18" t="s">
        <v>136</v>
      </c>
    </row>
    <row r="25" spans="1:4" ht="14.25" customHeight="1">
      <c r="A25" s="18">
        <v>4</v>
      </c>
      <c r="B25" s="17" t="s">
        <v>151</v>
      </c>
      <c r="C25" s="51"/>
      <c r="D25" s="18" t="s">
        <v>136</v>
      </c>
    </row>
    <row r="26" spans="1:4" ht="14.25" customHeight="1">
      <c r="A26" s="18">
        <v>5</v>
      </c>
      <c r="B26" s="17" t="s">
        <v>152</v>
      </c>
      <c r="C26" s="18" t="s">
        <v>136</v>
      </c>
      <c r="D26" s="18"/>
    </row>
    <row r="27" spans="1:4" ht="14.25" customHeight="1">
      <c r="A27" s="95" t="s">
        <v>145</v>
      </c>
      <c r="B27" s="105"/>
      <c r="C27" s="52">
        <f>COUNTA('MODELO LISTA DE COMPROBACIOCU12'!$C$22:$C$26)</f>
        <v>3</v>
      </c>
      <c r="D27" s="52">
        <f>COUNTA('MODELO LISTA DE COMPROBACIOCU12'!$D$22:$D$26)</f>
        <v>2</v>
      </c>
    </row>
    <row r="28" spans="1:4" ht="14.25" customHeight="1">
      <c r="A28" s="95" t="s">
        <v>146</v>
      </c>
      <c r="B28" s="105"/>
      <c r="C28" s="53">
        <f>C27/5</f>
        <v>0.6</v>
      </c>
      <c r="D28" s="53">
        <f>D27/5</f>
        <v>0.4</v>
      </c>
    </row>
    <row r="29" spans="1:4" ht="14.25" customHeight="1">
      <c r="A29" s="22"/>
      <c r="B29" s="22"/>
      <c r="C29" s="24"/>
      <c r="D29" s="23"/>
    </row>
    <row r="30" spans="1:4" ht="14.25" customHeight="1">
      <c r="A30" s="96" t="s">
        <v>153</v>
      </c>
      <c r="B30" s="105"/>
      <c r="C30" s="105"/>
      <c r="D30" s="105"/>
    </row>
    <row r="31" spans="1:4" ht="14.25" customHeight="1">
      <c r="A31" s="54" t="s">
        <v>131</v>
      </c>
      <c r="B31" s="54" t="s">
        <v>132</v>
      </c>
      <c r="C31" s="55" t="s">
        <v>133</v>
      </c>
      <c r="D31" s="55" t="s">
        <v>134</v>
      </c>
    </row>
    <row r="32" spans="1:4" ht="14.25" customHeight="1">
      <c r="A32" s="18">
        <v>1</v>
      </c>
      <c r="B32" s="17" t="s">
        <v>154</v>
      </c>
      <c r="C32" s="18" t="s">
        <v>136</v>
      </c>
      <c r="D32" s="18"/>
    </row>
    <row r="33" spans="1:4" ht="14.25" customHeight="1">
      <c r="A33" s="18">
        <v>2</v>
      </c>
      <c r="B33" s="17" t="s">
        <v>155</v>
      </c>
      <c r="C33" s="18" t="s">
        <v>136</v>
      </c>
      <c r="D33" s="18"/>
    </row>
    <row r="34" spans="1:4" ht="14.25" customHeight="1">
      <c r="A34" s="18">
        <v>3</v>
      </c>
      <c r="B34" s="17" t="s">
        <v>156</v>
      </c>
      <c r="C34" s="18" t="s">
        <v>136</v>
      </c>
      <c r="D34" s="18"/>
    </row>
    <row r="35" spans="1:4" ht="14.25" customHeight="1">
      <c r="A35" s="95" t="s">
        <v>145</v>
      </c>
      <c r="B35" s="105"/>
      <c r="C35" s="51">
        <f>COUNTA('MODELO LISTA DE COMPROBACIOCU12'!$C$32:$C$34)</f>
        <v>3</v>
      </c>
      <c r="D35" s="51">
        <f>COUNTA('MODELO LISTA DE COMPROBACIOCU12'!$D$32:$D$34)</f>
        <v>0</v>
      </c>
    </row>
    <row r="36" spans="1:4" ht="14.25" customHeight="1">
      <c r="A36" s="95" t="s">
        <v>146</v>
      </c>
      <c r="B36" s="105"/>
      <c r="C36" s="53">
        <f>C35/3</f>
        <v>1</v>
      </c>
      <c r="D36" s="53">
        <f>D35/3</f>
        <v>0</v>
      </c>
    </row>
    <row r="37" spans="1:4" ht="14.25" customHeight="1"/>
    <row r="38" spans="1:4" ht="14.25" customHeight="1"/>
    <row r="39" spans="1:4" ht="14.25" customHeight="1"/>
    <row r="40" spans="1:4" ht="14.25" customHeight="1">
      <c r="A40" s="77" t="s">
        <v>157</v>
      </c>
      <c r="B40" s="98"/>
      <c r="C40" s="98"/>
    </row>
    <row r="41" spans="1:4" ht="30" customHeight="1">
      <c r="B41" s="11" t="s">
        <v>158</v>
      </c>
      <c r="C41" s="23">
        <v>56</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47" priority="1" operator="containsText" text="X">
      <formula>NOT(ISERROR(SEARCH(("X"),(A32))))</formula>
    </cfRule>
  </conditionalFormatting>
  <conditionalFormatting sqref="C32:D34 D8 C9:D9 C12:D16 D10:D11 C22:D24 C26:D26 D25">
    <cfRule type="containsText" dxfId="46" priority="2" operator="containsText" text="X">
      <formula>NOT(ISERROR(SEARCH(("X"),(C8))))</formula>
    </cfRule>
  </conditionalFormatting>
  <conditionalFormatting sqref="C32:D34 D8 C9:D9 C12:D16 D10:D11 C22:D24 C26:D26 D25">
    <cfRule type="containsText" dxfId="45" priority="3" operator="containsText" text="X">
      <formula>NOT(ISERROR(SEARCH(("X"),(C8))))</formula>
    </cfRule>
  </conditionalFormatting>
  <conditionalFormatting sqref="C32:D34 D8 C22:C23 C9:D9 C12:D16 D10:D11 C26 D24:D25">
    <cfRule type="containsText" dxfId="44" priority="4" operator="containsText" text="X">
      <formula>NOT(ISERROR(SEARCH(("X"),(C8))))</formula>
    </cfRule>
  </conditionalFormatting>
  <conditionalFormatting sqref="C32:D34 D8 C22:C23 C9:D9 C12:D16 D10:D11 C26 D24:D25">
    <cfRule type="containsText" dxfId="43" priority="5" operator="containsText" text="X">
      <formula>NOT(ISERROR(SEARCH(("X"),(C8))))</formula>
    </cfRule>
  </conditionalFormatting>
  <conditionalFormatting sqref="C32:D34">
    <cfRule type="containsText" dxfId="42" priority="6"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3B4B-89DA-4CF0-BC36-2041ACF6F39E}">
  <dimension ref="A1:Z1000"/>
  <sheetViews>
    <sheetView workbookViewId="0"/>
  </sheetViews>
  <sheetFormatPr defaultColWidth="14.42578125" defaultRowHeight="15" customHeight="1"/>
  <cols>
    <col min="1" max="1" width="10.7109375" customWidth="1"/>
    <col min="2" max="2" width="38.85546875" customWidth="1"/>
    <col min="3" max="3" width="16.140625" customWidth="1"/>
    <col min="4" max="26" width="10.7109375" customWidth="1"/>
  </cols>
  <sheetData>
    <row r="1" spans="1:26" ht="51" customHeight="1">
      <c r="A1" s="11"/>
      <c r="B1" s="12" t="s">
        <v>1</v>
      </c>
      <c r="C1" s="80" t="s">
        <v>125</v>
      </c>
      <c r="D1" s="98"/>
      <c r="E1" s="11"/>
      <c r="F1" s="11"/>
      <c r="G1" s="11"/>
      <c r="H1" s="11"/>
      <c r="I1" s="11"/>
      <c r="J1" s="11"/>
      <c r="K1" s="11"/>
      <c r="L1" s="11"/>
      <c r="M1" s="11"/>
      <c r="N1" s="11"/>
      <c r="O1" s="11"/>
      <c r="P1" s="11"/>
      <c r="Q1" s="11"/>
      <c r="R1" s="11"/>
      <c r="S1" s="11"/>
      <c r="T1" s="11"/>
      <c r="U1" s="11"/>
      <c r="V1" s="11"/>
      <c r="W1" s="11"/>
      <c r="X1" s="11"/>
      <c r="Y1" s="11"/>
      <c r="Z1" s="11"/>
    </row>
    <row r="2" spans="1:26" ht="14.25" customHeight="1">
      <c r="B2" s="13" t="s">
        <v>126</v>
      </c>
      <c r="C2" s="81">
        <v>46297</v>
      </c>
      <c r="D2" s="98"/>
    </row>
    <row r="3" spans="1:26" ht="14.25" customHeight="1">
      <c r="B3" s="13" t="s">
        <v>127</v>
      </c>
      <c r="C3" s="82" t="s">
        <v>159</v>
      </c>
      <c r="D3" s="98"/>
    </row>
    <row r="4" spans="1:26" ht="14.25" customHeight="1">
      <c r="B4" s="13" t="s">
        <v>129</v>
      </c>
      <c r="C4" s="82" t="s">
        <v>170</v>
      </c>
      <c r="D4" s="98"/>
    </row>
    <row r="5" spans="1:26" ht="14.25" customHeight="1"/>
    <row r="6" spans="1:26" ht="14.25" customHeight="1">
      <c r="A6" s="96" t="s">
        <v>130</v>
      </c>
      <c r="B6" s="105"/>
      <c r="C6" s="105"/>
      <c r="D6" s="105"/>
    </row>
    <row r="7" spans="1:26" ht="15" customHeight="1">
      <c r="A7" s="50" t="s">
        <v>131</v>
      </c>
      <c r="B7" s="50" t="s">
        <v>132</v>
      </c>
      <c r="C7" s="50" t="s">
        <v>133</v>
      </c>
      <c r="D7" s="50" t="s">
        <v>134</v>
      </c>
    </row>
    <row r="8" spans="1:26" ht="14.25" customHeight="1">
      <c r="A8" s="18">
        <v>1</v>
      </c>
      <c r="B8" s="17" t="s">
        <v>135</v>
      </c>
      <c r="C8" s="51"/>
      <c r="D8" s="18" t="s">
        <v>136</v>
      </c>
    </row>
    <row r="9" spans="1:26" ht="14.25" customHeight="1">
      <c r="A9" s="18">
        <v>2</v>
      </c>
      <c r="B9" s="17" t="s">
        <v>137</v>
      </c>
      <c r="C9" s="18"/>
      <c r="D9" s="18" t="s">
        <v>136</v>
      </c>
    </row>
    <row r="10" spans="1:26" ht="14.25" customHeight="1">
      <c r="A10" s="18">
        <v>3</v>
      </c>
      <c r="B10" s="17" t="s">
        <v>138</v>
      </c>
      <c r="C10" s="51"/>
      <c r="D10" s="18" t="s">
        <v>136</v>
      </c>
    </row>
    <row r="11" spans="1:26" ht="14.25" customHeight="1">
      <c r="A11" s="18">
        <v>4</v>
      </c>
      <c r="B11" s="17" t="s">
        <v>139</v>
      </c>
      <c r="C11" s="18" t="s">
        <v>136</v>
      </c>
      <c r="D11" s="18"/>
    </row>
    <row r="12" spans="1:26" ht="14.25" customHeight="1">
      <c r="A12" s="18">
        <v>5</v>
      </c>
      <c r="B12" s="17" t="s">
        <v>140</v>
      </c>
      <c r="C12" s="18" t="s">
        <v>136</v>
      </c>
      <c r="D12" s="18"/>
    </row>
    <row r="13" spans="1:26" ht="14.25" customHeight="1">
      <c r="A13" s="18">
        <v>6</v>
      </c>
      <c r="B13" s="17" t="s">
        <v>141</v>
      </c>
      <c r="C13" s="18" t="s">
        <v>136</v>
      </c>
      <c r="D13" s="18"/>
    </row>
    <row r="14" spans="1:26" ht="14.25" customHeight="1">
      <c r="A14" s="18">
        <v>7</v>
      </c>
      <c r="B14" s="17" t="s">
        <v>142</v>
      </c>
      <c r="C14" s="18"/>
      <c r="D14" s="18" t="s">
        <v>136</v>
      </c>
    </row>
    <row r="15" spans="1:26" ht="14.25" customHeight="1">
      <c r="A15" s="18">
        <v>8</v>
      </c>
      <c r="B15" s="17" t="s">
        <v>143</v>
      </c>
      <c r="C15" s="18" t="s">
        <v>136</v>
      </c>
      <c r="D15" s="18"/>
    </row>
    <row r="16" spans="1:26" ht="14.25" customHeight="1">
      <c r="A16" s="18">
        <v>9</v>
      </c>
      <c r="B16" s="17" t="s">
        <v>144</v>
      </c>
      <c r="C16" s="18"/>
      <c r="D16" s="18" t="s">
        <v>136</v>
      </c>
    </row>
    <row r="17" spans="1:4" ht="14.25" customHeight="1">
      <c r="A17" s="95" t="s">
        <v>145</v>
      </c>
      <c r="B17" s="105"/>
      <c r="C17" s="52">
        <f>COUNTA('MODELO LISTA DE COMPROBACIOCU10'!$C$8:$C$16)</f>
        <v>4</v>
      </c>
      <c r="D17" s="52">
        <f>COUNTA('MODELO LISTA DE COMPROBACIOCU10'!$D$8:$D$16)</f>
        <v>5</v>
      </c>
    </row>
    <row r="18" spans="1:4" ht="14.25" customHeight="1">
      <c r="A18" s="95" t="s">
        <v>146</v>
      </c>
      <c r="B18" s="105"/>
      <c r="C18" s="53">
        <f>C17/9</f>
        <v>0.44444444444444442</v>
      </c>
      <c r="D18" s="53">
        <f>D17/9</f>
        <v>0.55555555555555558</v>
      </c>
    </row>
    <row r="19" spans="1:4" ht="14.25" customHeight="1">
      <c r="A19" s="22"/>
      <c r="B19" s="22"/>
      <c r="C19" s="24"/>
      <c r="D19" s="23"/>
    </row>
    <row r="20" spans="1:4" ht="14.25" customHeight="1">
      <c r="A20" s="96" t="s">
        <v>147</v>
      </c>
      <c r="B20" s="106"/>
      <c r="C20" s="106"/>
      <c r="D20" s="106"/>
    </row>
    <row r="21" spans="1:4" ht="14.25" customHeight="1">
      <c r="A21" s="54" t="s">
        <v>131</v>
      </c>
      <c r="B21" s="54" t="s">
        <v>132</v>
      </c>
      <c r="C21" s="55" t="s">
        <v>133</v>
      </c>
      <c r="D21" s="55" t="s">
        <v>134</v>
      </c>
    </row>
    <row r="22" spans="1:4" ht="14.25" customHeight="1">
      <c r="A22" s="18">
        <v>1</v>
      </c>
      <c r="B22" s="17" t="s">
        <v>148</v>
      </c>
      <c r="C22" s="18" t="s">
        <v>136</v>
      </c>
      <c r="D22" s="18"/>
    </row>
    <row r="23" spans="1:4" ht="14.25" customHeight="1">
      <c r="A23" s="18">
        <v>2</v>
      </c>
      <c r="B23" s="17" t="s">
        <v>149</v>
      </c>
      <c r="C23" s="18" t="s">
        <v>136</v>
      </c>
      <c r="D23" s="18"/>
    </row>
    <row r="24" spans="1:4" ht="14.25" customHeight="1">
      <c r="A24" s="18">
        <v>3</v>
      </c>
      <c r="B24" s="17" t="s">
        <v>150</v>
      </c>
      <c r="C24" s="18"/>
      <c r="D24" s="18" t="s">
        <v>136</v>
      </c>
    </row>
    <row r="25" spans="1:4" ht="14.25" customHeight="1">
      <c r="A25" s="18">
        <v>4</v>
      </c>
      <c r="B25" s="17" t="s">
        <v>151</v>
      </c>
      <c r="C25" s="18" t="s">
        <v>136</v>
      </c>
      <c r="D25" s="18"/>
    </row>
    <row r="26" spans="1:4" ht="14.25" customHeight="1">
      <c r="A26" s="18">
        <v>5</v>
      </c>
      <c r="B26" s="17" t="s">
        <v>152</v>
      </c>
      <c r="C26" s="18" t="s">
        <v>136</v>
      </c>
      <c r="D26" s="18"/>
    </row>
    <row r="27" spans="1:4" ht="14.25" customHeight="1">
      <c r="A27" s="95" t="s">
        <v>145</v>
      </c>
      <c r="B27" s="105"/>
      <c r="C27" s="52">
        <f>COUNTA('MODELO LISTA DE COMPROBACIOCU10'!$C$22:$C$26)</f>
        <v>4</v>
      </c>
      <c r="D27" s="52">
        <f>COUNTA('MODELO LISTA DE COMPROBACIOCU10'!$D$22:$D$26)</f>
        <v>1</v>
      </c>
    </row>
    <row r="28" spans="1:4" ht="14.25" customHeight="1">
      <c r="A28" s="95" t="s">
        <v>146</v>
      </c>
      <c r="B28" s="105"/>
      <c r="C28" s="53">
        <f>C27/5</f>
        <v>0.8</v>
      </c>
      <c r="D28" s="53">
        <f>D27/5</f>
        <v>0.2</v>
      </c>
    </row>
    <row r="29" spans="1:4" ht="14.25" customHeight="1">
      <c r="A29" s="22"/>
      <c r="B29" s="22"/>
      <c r="C29" s="24"/>
      <c r="D29" s="23"/>
    </row>
    <row r="30" spans="1:4" ht="14.25" customHeight="1">
      <c r="A30" s="96" t="s">
        <v>153</v>
      </c>
      <c r="B30" s="105"/>
      <c r="C30" s="105"/>
      <c r="D30" s="105"/>
    </row>
    <row r="31" spans="1:4" ht="14.25" customHeight="1">
      <c r="A31" s="54" t="s">
        <v>131</v>
      </c>
      <c r="B31" s="54" t="s">
        <v>132</v>
      </c>
      <c r="C31" s="55" t="s">
        <v>133</v>
      </c>
      <c r="D31" s="55" t="s">
        <v>134</v>
      </c>
    </row>
    <row r="32" spans="1:4" ht="14.25" customHeight="1">
      <c r="A32" s="18">
        <v>1</v>
      </c>
      <c r="B32" s="17" t="s">
        <v>154</v>
      </c>
      <c r="C32" s="18" t="s">
        <v>136</v>
      </c>
      <c r="D32" s="18"/>
    </row>
    <row r="33" spans="1:4" ht="14.25" customHeight="1">
      <c r="A33" s="18">
        <v>2</v>
      </c>
      <c r="B33" s="17" t="s">
        <v>155</v>
      </c>
      <c r="C33" s="18" t="s">
        <v>136</v>
      </c>
      <c r="D33" s="18"/>
    </row>
    <row r="34" spans="1:4" ht="14.25" customHeight="1">
      <c r="A34" s="18">
        <v>3</v>
      </c>
      <c r="B34" s="17" t="s">
        <v>156</v>
      </c>
      <c r="C34" s="18" t="s">
        <v>136</v>
      </c>
      <c r="D34" s="18"/>
    </row>
    <row r="35" spans="1:4" ht="14.25" customHeight="1">
      <c r="A35" s="95" t="s">
        <v>145</v>
      </c>
      <c r="B35" s="105"/>
      <c r="C35" s="51">
        <f>COUNTA('MODELO LISTA DE COMPROBACIOCU10'!$C$32:$C$34)</f>
        <v>3</v>
      </c>
      <c r="D35" s="51">
        <f>COUNTA('MODELO LISTA DE COMPROBACIOCU10'!$D$32:$D$34)</f>
        <v>0</v>
      </c>
    </row>
    <row r="36" spans="1:4" ht="14.25" customHeight="1">
      <c r="A36" s="95" t="s">
        <v>146</v>
      </c>
      <c r="B36" s="105"/>
      <c r="C36" s="53">
        <f>C35/3</f>
        <v>1</v>
      </c>
      <c r="D36" s="53">
        <f>D35/3</f>
        <v>0</v>
      </c>
    </row>
    <row r="37" spans="1:4" ht="14.25" customHeight="1"/>
    <row r="38" spans="1:4" ht="14.25" customHeight="1"/>
    <row r="39" spans="1:4" ht="14.25" customHeight="1"/>
    <row r="40" spans="1:4" ht="14.25" customHeight="1">
      <c r="A40" s="77" t="s">
        <v>157</v>
      </c>
      <c r="B40" s="98"/>
      <c r="C40" s="98"/>
    </row>
    <row r="41" spans="1:4" ht="30" customHeight="1">
      <c r="B41" s="11" t="s">
        <v>158</v>
      </c>
      <c r="C41" s="23">
        <v>56</v>
      </c>
    </row>
    <row r="42" spans="1:4" ht="30" customHeight="1">
      <c r="B42" s="11" t="s">
        <v>147</v>
      </c>
      <c r="C42" s="23">
        <v>100</v>
      </c>
    </row>
    <row r="43" spans="1:4" ht="30" customHeight="1">
      <c r="B43" s="11" t="s">
        <v>153</v>
      </c>
      <c r="C43" s="23">
        <v>100</v>
      </c>
    </row>
    <row r="44" spans="1:4" ht="14.25" customHeight="1">
      <c r="C44" s="23"/>
    </row>
    <row r="45" spans="1:4" ht="14.25" customHeight="1">
      <c r="C45" s="23"/>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7:B17"/>
    <mergeCell ref="C1:D1"/>
    <mergeCell ref="C2:D2"/>
    <mergeCell ref="C3:D3"/>
    <mergeCell ref="C4:D4"/>
    <mergeCell ref="A6:D6"/>
    <mergeCell ref="A36:B36"/>
    <mergeCell ref="A40:C40"/>
    <mergeCell ref="A18:B18"/>
    <mergeCell ref="A20:D20"/>
    <mergeCell ref="A27:B27"/>
    <mergeCell ref="A28:B28"/>
    <mergeCell ref="A30:D30"/>
    <mergeCell ref="A35:B35"/>
  </mergeCells>
  <conditionalFormatting sqref="A32:D34">
    <cfRule type="containsText" dxfId="23" priority="1" operator="containsText" text="X">
      <formula>NOT(ISERROR(SEARCH(("X"),(A32))))</formula>
    </cfRule>
  </conditionalFormatting>
  <conditionalFormatting sqref="C32:D34 D8 C22:D26 C9:D9 C11:D16 D10">
    <cfRule type="containsText" dxfId="22" priority="2" operator="containsText" text="X">
      <formula>NOT(ISERROR(SEARCH(("X"),(C8))))</formula>
    </cfRule>
  </conditionalFormatting>
  <conditionalFormatting sqref="C32:D34 D8 C22:D26 C9:D9 C11:D16 D10">
    <cfRule type="containsText" dxfId="21" priority="3" operator="containsText" text="X">
      <formula>NOT(ISERROR(SEARCH(("X"),(C8))))</formula>
    </cfRule>
  </conditionalFormatting>
  <conditionalFormatting sqref="C32:D34 D8 C22:C23 C25:C26 D24 C9:D9 C11:D16 D10">
    <cfRule type="containsText" dxfId="20" priority="4" operator="containsText" text="X">
      <formula>NOT(ISERROR(SEARCH(("X"),(C8))))</formula>
    </cfRule>
  </conditionalFormatting>
  <conditionalFormatting sqref="C32:D34 D8 C22:C23 C25:C26 D24 C9:D9 C11:D16 D10">
    <cfRule type="containsText" dxfId="19" priority="5" operator="containsText" text="X">
      <formula>NOT(ISERROR(SEARCH(("X"),(C8))))</formula>
    </cfRule>
  </conditionalFormatting>
  <conditionalFormatting sqref="C32:D34">
    <cfRule type="containsText" dxfId="18" priority="6"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6"/>
  <sheetViews>
    <sheetView workbookViewId="0">
      <selection activeCell="D3" sqref="D3"/>
    </sheetView>
  </sheetViews>
  <sheetFormatPr defaultColWidth="14.42578125" defaultRowHeight="15" customHeight="1"/>
  <cols>
    <col min="1" max="1" width="53.140625" customWidth="1"/>
    <col min="2" max="2" width="57.28515625" customWidth="1"/>
    <col min="3" max="26" width="10.7109375" customWidth="1"/>
  </cols>
  <sheetData>
    <row r="1" spans="1:2" ht="14.25" customHeight="1">
      <c r="A1" s="26" t="s">
        <v>171</v>
      </c>
      <c r="B1" s="26" t="s">
        <v>172</v>
      </c>
    </row>
    <row r="2" spans="1:2" ht="47.25" customHeight="1">
      <c r="A2" s="17" t="s">
        <v>173</v>
      </c>
      <c r="B2" s="17" t="s">
        <v>174</v>
      </c>
    </row>
    <row r="3" spans="1:2" ht="56.25" customHeight="1">
      <c r="A3" s="17" t="s">
        <v>175</v>
      </c>
      <c r="B3" s="17" t="s">
        <v>176</v>
      </c>
    </row>
    <row r="4" spans="1:2" ht="54" customHeight="1">
      <c r="A4" s="58" t="s">
        <v>177</v>
      </c>
      <c r="B4" s="20" t="s">
        <v>178</v>
      </c>
    </row>
    <row r="5" spans="1:2" ht="58.5" customHeight="1">
      <c r="A5" s="60"/>
      <c r="B5" s="61"/>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D9B3-BA60-4A49-BE32-33C36C61F0E8}">
  <dimension ref="A1:B997"/>
  <sheetViews>
    <sheetView workbookViewId="0">
      <selection activeCell="B2" sqref="B2"/>
    </sheetView>
  </sheetViews>
  <sheetFormatPr defaultColWidth="14.42578125" defaultRowHeight="15" customHeight="1"/>
  <cols>
    <col min="1" max="1" width="53.140625" customWidth="1"/>
    <col min="2" max="2" width="57.28515625" customWidth="1"/>
    <col min="3" max="26" width="10.7109375" customWidth="1"/>
  </cols>
  <sheetData>
    <row r="1" spans="1:2" ht="14.25" customHeight="1">
      <c r="A1" s="26" t="s">
        <v>171</v>
      </c>
      <c r="B1" s="26" t="s">
        <v>172</v>
      </c>
    </row>
    <row r="2" spans="1:2" ht="47.25" customHeight="1">
      <c r="A2" s="17" t="s">
        <v>179</v>
      </c>
      <c r="B2" s="17" t="s">
        <v>180</v>
      </c>
    </row>
    <row r="3" spans="1:2" ht="56.25" customHeight="1">
      <c r="A3" s="17" t="s">
        <v>181</v>
      </c>
      <c r="B3" s="17" t="s">
        <v>182</v>
      </c>
    </row>
    <row r="4" spans="1:2" ht="46.5" customHeight="1">
      <c r="A4" s="47" t="s">
        <v>183</v>
      </c>
      <c r="B4" s="28" t="s">
        <v>184</v>
      </c>
    </row>
    <row r="5" spans="1:2" ht="54" customHeight="1">
      <c r="A5" s="47" t="s">
        <v>185</v>
      </c>
      <c r="B5" s="17" t="s">
        <v>186</v>
      </c>
    </row>
    <row r="6" spans="1:2" ht="58.5" customHeight="1">
      <c r="A6" s="29" t="s">
        <v>187</v>
      </c>
      <c r="B6" s="30" t="s">
        <v>188</v>
      </c>
    </row>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67FA-0D23-4C64-B021-1AA42971D3C3}">
  <dimension ref="A1:B995"/>
  <sheetViews>
    <sheetView workbookViewId="0">
      <selection activeCell="A2" sqref="A2"/>
    </sheetView>
  </sheetViews>
  <sheetFormatPr defaultColWidth="14.42578125" defaultRowHeight="15" customHeight="1"/>
  <cols>
    <col min="1" max="1" width="53.140625" customWidth="1"/>
    <col min="2" max="2" width="57.28515625" customWidth="1"/>
    <col min="3" max="26" width="10.7109375" customWidth="1"/>
  </cols>
  <sheetData>
    <row r="1" spans="1:2" ht="14.25" customHeight="1">
      <c r="A1" s="26" t="s">
        <v>171</v>
      </c>
      <c r="B1" s="26" t="s">
        <v>172</v>
      </c>
    </row>
    <row r="2" spans="1:2" ht="47.25" customHeight="1">
      <c r="A2" s="62" t="s">
        <v>173</v>
      </c>
      <c r="B2" s="17" t="s">
        <v>189</v>
      </c>
    </row>
    <row r="3" spans="1:2" ht="46.5" customHeight="1">
      <c r="A3" s="47" t="s">
        <v>175</v>
      </c>
      <c r="B3" s="28" t="s">
        <v>190</v>
      </c>
    </row>
    <row r="4" spans="1:2" ht="54" customHeight="1">
      <c r="A4" s="47" t="s">
        <v>177</v>
      </c>
      <c r="B4" s="17" t="s">
        <v>191</v>
      </c>
    </row>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8"/>
  <sheetViews>
    <sheetView topLeftCell="A4" workbookViewId="0">
      <selection activeCell="A2" sqref="A2"/>
    </sheetView>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45.75">
      <c r="A2" s="27" t="s">
        <v>192</v>
      </c>
      <c r="B2" s="28" t="s">
        <v>193</v>
      </c>
    </row>
    <row r="3" spans="1:2" ht="76.5">
      <c r="A3" s="45" t="s">
        <v>194</v>
      </c>
      <c r="B3" s="20" t="s">
        <v>195</v>
      </c>
    </row>
    <row r="4" spans="1:2" ht="60.75">
      <c r="A4" s="31" t="s">
        <v>196</v>
      </c>
      <c r="B4" s="30" t="s">
        <v>197</v>
      </c>
    </row>
    <row r="5" spans="1:2" ht="60.75">
      <c r="A5" s="29" t="s">
        <v>198</v>
      </c>
      <c r="B5" s="30" t="s">
        <v>199</v>
      </c>
    </row>
    <row r="6" spans="1:2" ht="91.5">
      <c r="A6" s="43" t="s">
        <v>200</v>
      </c>
      <c r="B6" s="43" t="s">
        <v>201</v>
      </c>
    </row>
    <row r="7" spans="1:2" ht="76.5">
      <c r="A7" s="43" t="s">
        <v>202</v>
      </c>
      <c r="B7" s="44" t="s">
        <v>203</v>
      </c>
    </row>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8A8F-06BB-4053-B3B9-61EA13A8D2F3}">
  <dimension ref="A1:B996"/>
  <sheetViews>
    <sheetView workbookViewId="0"/>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45.75">
      <c r="A2" s="58" t="s">
        <v>173</v>
      </c>
      <c r="B2" s="58" t="s">
        <v>204</v>
      </c>
    </row>
    <row r="3" spans="1:2" ht="45.75">
      <c r="A3" s="64" t="s">
        <v>175</v>
      </c>
      <c r="B3" s="20" t="s">
        <v>205</v>
      </c>
    </row>
    <row r="4" spans="1:2" ht="45.75">
      <c r="A4" s="65" t="s">
        <v>206</v>
      </c>
      <c r="B4" s="44" t="s">
        <v>207</v>
      </c>
    </row>
    <row r="5" spans="1:2" ht="60.75">
      <c r="A5" s="43" t="s">
        <v>208</v>
      </c>
      <c r="B5" s="44" t="s">
        <v>209</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9035B-AC1F-4B48-86FF-C34ACCCEA928}">
  <dimension ref="A1:B998"/>
  <sheetViews>
    <sheetView topLeftCell="A7" workbookViewId="0">
      <selection activeCell="F2" sqref="F2"/>
    </sheetView>
  </sheetViews>
  <sheetFormatPr defaultColWidth="14.42578125" defaultRowHeight="15" customHeight="1"/>
  <cols>
    <col min="1" max="1" width="54.140625" style="75" customWidth="1"/>
    <col min="2" max="2" width="57.28515625" customWidth="1"/>
    <col min="3" max="26" width="10.7109375" customWidth="1"/>
  </cols>
  <sheetData>
    <row r="1" spans="1:2" ht="14.25" customHeight="1">
      <c r="A1" s="73" t="s">
        <v>171</v>
      </c>
      <c r="B1" s="26" t="s">
        <v>172</v>
      </c>
    </row>
    <row r="2" spans="1:2" ht="91.5">
      <c r="A2" s="27" t="s">
        <v>210</v>
      </c>
      <c r="B2" s="28" t="s">
        <v>211</v>
      </c>
    </row>
    <row r="3" spans="1:2" ht="45.75">
      <c r="A3" s="45" t="s">
        <v>212</v>
      </c>
      <c r="B3" s="20" t="s">
        <v>213</v>
      </c>
    </row>
    <row r="4" spans="1:2" ht="106.5">
      <c r="A4" s="31" t="s">
        <v>214</v>
      </c>
      <c r="B4" s="72" t="s">
        <v>215</v>
      </c>
    </row>
    <row r="5" spans="1:2" ht="76.5">
      <c r="A5" s="74" t="s">
        <v>216</v>
      </c>
      <c r="B5" s="66" t="s">
        <v>217</v>
      </c>
    </row>
    <row r="6" spans="1:2" ht="76.5">
      <c r="A6" s="74" t="s">
        <v>218</v>
      </c>
      <c r="B6" s="43" t="s">
        <v>219</v>
      </c>
    </row>
    <row r="7" spans="1:2" ht="76.5">
      <c r="A7" s="43" t="s">
        <v>202</v>
      </c>
      <c r="B7" s="44" t="s">
        <v>220</v>
      </c>
    </row>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148D-FF49-4A23-AB75-43D906C3FC33}">
  <dimension ref="A1:B996"/>
  <sheetViews>
    <sheetView workbookViewId="0"/>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68" t="s">
        <v>172</v>
      </c>
    </row>
    <row r="2" spans="1:2" ht="45.75">
      <c r="A2" s="58" t="s">
        <v>173</v>
      </c>
      <c r="B2" s="44" t="s">
        <v>221</v>
      </c>
    </row>
    <row r="3" spans="1:2" ht="45.75">
      <c r="A3" s="67" t="s">
        <v>175</v>
      </c>
      <c r="B3" s="44" t="s">
        <v>222</v>
      </c>
    </row>
    <row r="4" spans="1:2" ht="45.75">
      <c r="A4" s="65" t="s">
        <v>206</v>
      </c>
      <c r="B4" s="69" t="s">
        <v>223</v>
      </c>
    </row>
    <row r="5" spans="1:2" ht="60.75">
      <c r="A5" s="43" t="s">
        <v>208</v>
      </c>
      <c r="B5" s="44" t="s">
        <v>224</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3FB4-A0FE-43CF-B36D-D69CB81E23C0}">
  <dimension ref="A1:B997"/>
  <sheetViews>
    <sheetView workbookViewId="0">
      <selection activeCell="B7" sqref="B7"/>
    </sheetView>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76.5">
      <c r="A2" s="27" t="s">
        <v>225</v>
      </c>
      <c r="B2" s="28" t="s">
        <v>226</v>
      </c>
    </row>
    <row r="3" spans="1:2" ht="91.5">
      <c r="A3" s="45" t="s">
        <v>227</v>
      </c>
      <c r="B3" s="20" t="s">
        <v>228</v>
      </c>
    </row>
    <row r="4" spans="1:2" ht="76.5">
      <c r="A4" s="31" t="s">
        <v>216</v>
      </c>
      <c r="B4" s="30" t="s">
        <v>229</v>
      </c>
    </row>
    <row r="5" spans="1:2" ht="60.75">
      <c r="A5" s="29" t="s">
        <v>218</v>
      </c>
      <c r="B5" s="30" t="s">
        <v>230</v>
      </c>
    </row>
    <row r="6" spans="1:2" ht="76.5">
      <c r="A6" s="43" t="s">
        <v>202</v>
      </c>
      <c r="B6" s="43" t="s">
        <v>231</v>
      </c>
    </row>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464E-AD2A-42A3-AF03-D19DF0E02B47}">
  <dimension ref="A1:B997"/>
  <sheetViews>
    <sheetView topLeftCell="A2" workbookViewId="0">
      <selection activeCell="B7" sqref="B7"/>
    </sheetView>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76.5">
      <c r="A2" s="27" t="s">
        <v>232</v>
      </c>
      <c r="B2" s="28" t="s">
        <v>233</v>
      </c>
    </row>
    <row r="3" spans="1:2" ht="76.5">
      <c r="A3" s="45" t="s">
        <v>234</v>
      </c>
      <c r="B3" s="20" t="s">
        <v>235</v>
      </c>
    </row>
    <row r="4" spans="1:2" ht="91.5">
      <c r="A4" s="63" t="s">
        <v>236</v>
      </c>
      <c r="B4" s="44" t="s">
        <v>237</v>
      </c>
    </row>
    <row r="5" spans="1:2" ht="60.75">
      <c r="A5" s="43" t="s">
        <v>218</v>
      </c>
      <c r="B5" s="44" t="s">
        <v>230</v>
      </c>
    </row>
    <row r="6" spans="1:2" ht="60.75">
      <c r="A6" s="43" t="s">
        <v>238</v>
      </c>
      <c r="B6" s="43" t="s">
        <v>239</v>
      </c>
    </row>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0BB9-A882-48A8-8722-4724B1DF9038}">
  <dimension ref="A1:B997"/>
  <sheetViews>
    <sheetView workbookViewId="0"/>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76.5">
      <c r="A2" s="27" t="s">
        <v>240</v>
      </c>
      <c r="B2" s="28" t="s">
        <v>241</v>
      </c>
    </row>
    <row r="3" spans="1:2" ht="76.5">
      <c r="A3" s="45" t="s">
        <v>242</v>
      </c>
      <c r="B3" s="20" t="s">
        <v>243</v>
      </c>
    </row>
    <row r="4" spans="1:2" ht="60.75">
      <c r="A4" s="63" t="s">
        <v>244</v>
      </c>
      <c r="B4" s="44" t="s">
        <v>245</v>
      </c>
    </row>
    <row r="5" spans="1:2" ht="60.75">
      <c r="A5" s="43" t="s">
        <v>246</v>
      </c>
      <c r="B5" s="44" t="s">
        <v>247</v>
      </c>
    </row>
    <row r="6" spans="1:2" ht="60.75">
      <c r="A6" s="43" t="s">
        <v>248</v>
      </c>
      <c r="B6" s="43" t="s">
        <v>249</v>
      </c>
    </row>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EC07-C552-41F1-B29B-8CA7A8FEBFA9}">
  <dimension ref="A1:B998"/>
  <sheetViews>
    <sheetView topLeftCell="A4" workbookViewId="0">
      <selection activeCell="B5" sqref="B5"/>
    </sheetView>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76.5">
      <c r="A2" s="27" t="s">
        <v>250</v>
      </c>
      <c r="B2" s="28" t="s">
        <v>251</v>
      </c>
    </row>
    <row r="3" spans="1:2" ht="106.5">
      <c r="A3" s="45" t="s">
        <v>214</v>
      </c>
      <c r="B3" s="20" t="s">
        <v>252</v>
      </c>
    </row>
    <row r="4" spans="1:2" ht="60.75">
      <c r="A4" s="31" t="s">
        <v>216</v>
      </c>
      <c r="B4" s="30" t="s">
        <v>253</v>
      </c>
    </row>
    <row r="5" spans="1:2" ht="60.75">
      <c r="A5" s="29" t="s">
        <v>218</v>
      </c>
      <c r="B5" s="71" t="s">
        <v>254</v>
      </c>
    </row>
    <row r="6" spans="1:2" ht="76.5">
      <c r="A6" s="43" t="s">
        <v>202</v>
      </c>
      <c r="B6" s="43" t="s">
        <v>255</v>
      </c>
    </row>
    <row r="7" spans="1:2" ht="60.75">
      <c r="A7" s="43" t="s">
        <v>256</v>
      </c>
      <c r="B7" s="70" t="s">
        <v>257</v>
      </c>
    </row>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5C3B-15D3-4877-82D9-7C7302BFB3B8}">
  <dimension ref="A1:B998"/>
  <sheetViews>
    <sheetView topLeftCell="A4" workbookViewId="0">
      <selection activeCell="B8" sqref="B8"/>
    </sheetView>
  </sheetViews>
  <sheetFormatPr defaultColWidth="14.42578125" defaultRowHeight="15" customHeight="1"/>
  <cols>
    <col min="1" max="1" width="54.140625" customWidth="1"/>
    <col min="2" max="2" width="57.28515625" customWidth="1"/>
    <col min="3" max="26" width="10.7109375" customWidth="1"/>
  </cols>
  <sheetData>
    <row r="1" spans="1:2" ht="14.25" customHeight="1">
      <c r="A1" s="26" t="s">
        <v>171</v>
      </c>
      <c r="B1" s="26" t="s">
        <v>172</v>
      </c>
    </row>
    <row r="2" spans="1:2" ht="60.75">
      <c r="A2" s="27" t="s">
        <v>258</v>
      </c>
      <c r="B2" s="28" t="s">
        <v>259</v>
      </c>
    </row>
    <row r="3" spans="1:2" ht="76.5">
      <c r="A3" s="45" t="s">
        <v>260</v>
      </c>
      <c r="B3" s="20" t="s">
        <v>261</v>
      </c>
    </row>
    <row r="4" spans="1:2" ht="91.5">
      <c r="A4" s="63" t="s">
        <v>262</v>
      </c>
      <c r="B4" s="44" t="s">
        <v>263</v>
      </c>
    </row>
    <row r="5" spans="1:2" ht="60.75">
      <c r="A5" s="43" t="s">
        <v>264</v>
      </c>
      <c r="B5" s="44" t="s">
        <v>265</v>
      </c>
    </row>
    <row r="6" spans="1:2" ht="60.75">
      <c r="A6" s="43" t="s">
        <v>266</v>
      </c>
      <c r="B6" s="43" t="s">
        <v>267</v>
      </c>
    </row>
    <row r="7" spans="1:2" ht="76.5">
      <c r="A7" s="43" t="s">
        <v>268</v>
      </c>
      <c r="B7" s="44" t="s">
        <v>269</v>
      </c>
    </row>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2026-10-01T15:34:53Z</dcterms:created>
  <dcterms:modified xsi:type="dcterms:W3CDTF">2026-10-15T13:55:54Z</dcterms:modified>
  <cp:category/>
  <cp:contentStatus/>
</cp:coreProperties>
</file>