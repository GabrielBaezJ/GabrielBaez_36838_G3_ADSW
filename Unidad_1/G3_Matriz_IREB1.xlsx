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B592A74B-2273-4648-9E40-7A680D28E06C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Matriz Check List" sheetId="1" r:id="rId1"/>
    <sheet name="MODELO LISTA DE COMPROBACIO (3)" sheetId="9" r:id="rId2"/>
    <sheet name="MODELO LISTA DE COMPROBACIO (4)" sheetId="10" r:id="rId3"/>
    <sheet name="MODELO LISTA DE COMPROBACIO (2)" sheetId="8" r:id="rId4"/>
    <sheet name="RECOMENDACIONES - CU001.2" sheetId="11" r:id="rId5"/>
    <sheet name="RECOMENDACIONES - CU001.1" sheetId="5" r:id="rId6"/>
    <sheet name="RECOMENDACIONES - CU001.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0" l="1"/>
  <c r="D36" i="10" s="1"/>
  <c r="C35" i="10"/>
  <c r="C36" i="10" s="1"/>
  <c r="D27" i="10"/>
  <c r="D28" i="10" s="1"/>
  <c r="C27" i="10"/>
  <c r="C28" i="10" s="1"/>
  <c r="D17" i="10"/>
  <c r="D18" i="10" s="1"/>
  <c r="C17" i="10"/>
  <c r="C18" i="10" s="1"/>
  <c r="D35" i="9"/>
  <c r="D36" i="9" s="1"/>
  <c r="C35" i="9"/>
  <c r="C36" i="9" s="1"/>
  <c r="D27" i="9"/>
  <c r="D28" i="9" s="1"/>
  <c r="C27" i="9"/>
  <c r="C28" i="9" s="1"/>
  <c r="D17" i="9"/>
  <c r="D18" i="9" s="1"/>
  <c r="C17" i="9"/>
  <c r="C18" i="9" s="1"/>
  <c r="D35" i="8"/>
  <c r="D36" i="8" s="1"/>
  <c r="C35" i="8"/>
  <c r="C36" i="8" s="1"/>
  <c r="D27" i="8"/>
  <c r="D28" i="8" s="1"/>
  <c r="C27" i="8"/>
  <c r="C28" i="8" s="1"/>
  <c r="D17" i="8"/>
  <c r="D18" i="8" s="1"/>
  <c r="C17" i="8"/>
  <c r="C1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FF332246-5B98-456F-A157-7C392552C063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9C5B8780-7791-46C4-88C6-9E2E4DE8F90C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E4D4AA5A-EF23-419D-A6D5-AC1EE6911D4B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C227135B-7DCC-45CA-B570-5DFE3D65E36E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73508D6-CEB8-4C74-8304-DAC08A5DC382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5324D047-4EFD-49BD-8BEA-914F90E313A6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5F36B105-79C6-4610-A2F6-11491F4D2E1E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59C6C364-1475-4529-AC55-AEFB6CA00F5F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9C939E91-448A-4252-BBD7-65D8924BCAF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D1F92565-CE5D-4028-B455-4AB6B87E4E62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9459FB20-5560-446B-B726-F039C038C835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12B2CCFF-20CE-47C4-9058-AFF1159ABEE7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84AF118F-821D-42E4-8190-890D285BC9EF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EDF7B158-FB77-441A-BACC-44206F408808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E6E2DC6B-310C-4FB9-935A-1405C2DB1B85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7CAFD792-3B13-4EDE-91F4-44BD75B5DE25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737B5477-0730-4B27-A675-E53536804F0F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72091C9C-74FA-40D0-8E74-3F7ED2AE3843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6A08ED4D-9AB2-4DB8-90B7-CE731066974E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D43E0940-9CBC-42E0-AC64-E203D7EEC1D4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C4A80522-86D4-4414-AB8B-692E1AAABA52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78DFF5BE-2324-4551-B172-72C8B788D052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AA101B71-DE7E-4903-AB96-AE121DAEC85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E24F3461-0139-4137-8CB4-62BB7BC5D76D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8D3290C9-F71B-4D6D-BE51-E688CA66DCA6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2D9B859B-A8AE-4577-9D5F-970D2A68D0C3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FDF1D673-3507-453F-B18B-920F3EA3FBC2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<sst xmlns="http://schemas.openxmlformats.org/spreadsheetml/2006/main" count="324" uniqueCount="119">
  <si>
    <t>MATRIZ PARA COMPROBACIÓN REQUERIMIENTOS DE CALIDAD DE PROYECTO ACADEMICO</t>
  </si>
  <si>
    <t>SISTEMA:</t>
  </si>
  <si>
    <t>SISTEMA DE INVENTARIO DE MATERIA PRIMA (SIMP)</t>
  </si>
  <si>
    <t>Requerimientos  Funcionales</t>
  </si>
  <si>
    <t>Nº</t>
  </si>
  <si>
    <t>CRITERIOS DE CALIDAD (Documento/Requerimientos)</t>
  </si>
  <si>
    <t>Status
Nivel de Acuerdo</t>
  </si>
  <si>
    <t>CU001.1  GESTIONAR PRODUCTOS</t>
  </si>
  <si>
    <t>CU001.2 Gestionar unidades de medida</t>
  </si>
  <si>
    <t>CU001.4 Consolidar Inventario del Sistema</t>
  </si>
  <si>
    <t>Agreed</t>
  </si>
  <si>
    <t>OK</t>
  </si>
  <si>
    <t>1. Videoconferencia de la entrevista
2. Minuta de la entrevista
3. Aceptación por videoconferencia</t>
  </si>
  <si>
    <t>1. Videoconferencia de la entrevista                                                                                                                    2. Minuta de la entrevista
3. Aceptación del prototipo no funcional mediante videoconferencia</t>
  </si>
  <si>
    <t>Ranked</t>
  </si>
  <si>
    <t>1. En la descripción del caso de Uso se especifica la prioridad Alta</t>
  </si>
  <si>
    <t>1. En la descripción del caso de Uso se especifica la prioridad Primario</t>
  </si>
  <si>
    <t>1. La descripción del CU indica Tipo: "Primario y crítico". 2. RF-04 tiene prioridad Alta/Esencial.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</si>
  <si>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</si>
  <si>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</si>
  <si>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NOK</t>
  </si>
  <si>
    <t>1. La redacción puede ser más especifica y clara</t>
  </si>
  <si>
    <t>1. No se define cómo se combinan los conteos físicos y las compras para obtener las existencias, ni de dónde se derivan las "salidas" por producto. 2. No es claro si la consolidación es automática (Alcance 1.2) o la ejecuta el Administrador (actor del CU).</t>
  </si>
  <si>
    <t>Valid and up-to date</t>
  </si>
  <si>
    <t>1. Toda nueva información ha sido incorporada, se han incorporado los últimos cambios pedidos luego del feedback realizado por el cliente</t>
  </si>
  <si>
    <t xml:space="preserve">1. Toda la información ha sido incorporada con el último feedback 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</si>
  <si>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</si>
  <si>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</si>
  <si>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1. Está alineado con el objetivo del SIMP: inventario confiable, actualizado y trazable. 2. Refleja la necesidad del cliente de reemplazar los conteos y registros manuales.</t>
  </si>
  <si>
    <t>Consisten</t>
  </si>
  <si>
    <t xml:space="preserve">1. Documentación basada en modelos: Diagrama de Casos de Uso
2. Usa términos definidos previamente.                                             </t>
  </si>
  <si>
    <t xml:space="preserve">1. Documentación basada en modelos: Diagrama de Casos de Uso 2. Usa términos definidos previamente.    </t>
  </si>
  <si>
    <t xml:space="preserve">
1. Documentación basada en modelos: Diagrama de Casos de Uso. Usa términos definidos (Stock, Inventario). 2. En el diagrama, &lt;&lt;include&gt;&gt; entre "Gestionar compras" y "Actualizar existencias" tiene el sentido invertido. 3. El diagrama no relaciona el registro de conteos físicos con la consolidación, aunque la descripción los integra.</t>
  </si>
  <si>
    <t>Verifiable</t>
  </si>
  <si>
    <t>1. Requisito Medible                                                           2.  Falta Casos de Prueba</t>
  </si>
  <si>
    <t xml:space="preserve">1.No ha sido desarrollado                                                                                </t>
  </si>
  <si>
    <t>1. Las salidas se describen de forma cualitativa ("existencias actualizadas"), sin criterios de aceptación medibles. 2. Faltan casos de prueba; NF-04 (&lt; 5 s) cubre consultas y reportes, no la consolidación.</t>
  </si>
  <si>
    <t>Realizable</t>
  </si>
  <si>
    <t>1. Funcionalidad tomada en cuenta dentro de la estimación del costo del proyecto (900$)
2. No se ha desarrollado</t>
  </si>
  <si>
    <t>1. No ha sido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</si>
  <si>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</si>
  <si>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</si>
  <si>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No se tiene una matriz de trazabilidad</t>
  </si>
  <si>
    <t>Complete</t>
  </si>
  <si>
    <t>1. Contiene toda la información necesaria (entradas, salidas, precondiciones, postcondiciones) para entender y diseñar la función. 
2. Describe completamente la funcionalidad esperada.</t>
  </si>
  <si>
    <t xml:space="preserve">1. Se describe lo que se acordo </t>
  </si>
  <si>
    <t>1. Contiene toda la información necesaria (entradas, salidas, precondiciones, postcondiciones) para entender y diseñar la función.                                2. Describe completamente la funcionalidad esperada.</t>
  </si>
  <si>
    <t>Understandability</t>
  </si>
  <si>
    <t>1. Se involucra al cliente
2. Existe glosario de términos</t>
  </si>
  <si>
    <t>1. Se involucra al cliente</t>
  </si>
  <si>
    <t>1. Se involucra al cliente como fuente de información. 2. Existe glosario (1.4: Stock, Inventario, Trazabilidad); falta el término "Consolidación".</t>
  </si>
  <si>
    <t>Sistema de Inventario de Materia Prima (SIMP)</t>
  </si>
  <si>
    <t>FECHA:</t>
  </si>
  <si>
    <t>AUTOR:</t>
  </si>
  <si>
    <t>Báez Jaramillo, Gabriel Alejandro</t>
  </si>
  <si>
    <t>REQUERIMIENTOS EVALUADOS :</t>
  </si>
  <si>
    <t>CU4 Consolidar Inventario del sistema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</si>
  <si>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</si>
  <si>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</si>
  <si>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</si>
  <si>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</si>
  <si>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</si>
  <si>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</si>
  <si>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</si>
  <si>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</si>
  <si>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</si>
  <si>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</si>
  <si>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</si>
  <si>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</si>
  <si>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</si>
  <si>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</si>
  <si>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</si>
  <si>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</si>
  <si>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</si>
  <si>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</si>
  <si>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</si>
  <si>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</si>
  <si>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</si>
  <si>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</si>
  <si>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</si>
  <si>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</si>
  <si>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</si>
  <si>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</si>
  <si>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</si>
  <si>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</si>
  <si>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</si>
  <si>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 xml:space="preserve">Sistema de Inventario de Materia Prima (SIMP)	</t>
  </si>
  <si>
    <t>Guayanay Lema Erika Vannesa</t>
  </si>
  <si>
    <t>Isaac</t>
  </si>
  <si>
    <t>CU001.1  GESTIONAR UNIDADES DE MEDIDA</t>
  </si>
  <si>
    <t>PREGUNTA</t>
  </si>
  <si>
    <t>RECOMENDACIÓN</t>
  </si>
  <si>
    <t>¿Se han validado y aprobado formalmente todos los entregables de la entrevista (videoconferencia, minuta, acta de aceptación)?</t>
  </si>
  <si>
    <t>Para garantizar que las especificaciones del módulo de administración de unidades de medida cuenten con el respaldo y conformidad del negocio, se debe gestionar la firma del acta de aceptación formal entre el cliente, el tutor y el equipo de desarrollo. Este documento ratifica la validación de las entradas registradas (nombre, abreviatura y estado) y de las salidas requeridas para la integración con los procesos de productos y compras.</t>
  </si>
  <si>
    <t>¿Existen casos de prueba que permitan medir objetivamente si el requisito se cumplió? que permitan medir objetivamente el cumplimiento del 
requisito?</t>
  </si>
  <si>
    <t>Con el fin de asegurar la verificabilidad técnica del caso de uso, se debe diseñar casos de prueba específicos y criterios de aceptación detallados. Estos escenarios evalúan la creación, modificación y desactivación/eliminación de unidades de medida, validando restricciones como la duplicidad de nombres o abreviaturas y garantizando que únicamente las unidades en estado activo se encuentren disponibles en los formularios de registro de productos y compras.</t>
  </si>
  <si>
    <t>¿Se ha incorporado los cambios sugeridos por el tutor o el cliente?</t>
  </si>
  <si>
    <t>Se establecerá una bitácora de control de cambios para llevar la trazabilidad de las correcciones y observaciones emitidas por el cliente y el tutor sobre el caso de uso. A través de este registro se evidencia la incorporación de las retroalimentaciones recibidas, asegurando que las modificaciones al flujo del Administrador y a la estructura de datos mantengan coherencia con la evolución de los requerimientos</t>
  </si>
  <si>
    <t>¿Se mantiene la coherencia con otros requisitos del sistema y utiliza términos o definiciones de forma uniforme a lo largo del documento?</t>
  </si>
  <si>
    <t>Se  debería establecer una bitácora de control de cambios para llevar la trazabilidad de las correcciones y observaciones emitidas por el cliente y el tutor sobre el caso de uso. A través de este registro se evidencia la incorporación de las retroalimentaciones recibidas, asegurando que las modificaciones al flujo del Administrador y a la estructura de datos mantengan coherencia con la evolución de los requerimientos</t>
  </si>
  <si>
    <t>¿Todos los requerimientos  han sido acordados con todos los interesados?</t>
  </si>
  <si>
    <t>Se  debería coordinare impartir sesiones de validación y consenso con los interesados clave (administradores del sistema y responsables del área de compras e inventario) previo al cierre del documento de especificación. Dichas sesiones permitieron confirmar que los flujos de creación, modificación y uso de unidades de medida responden fielmente a los procesos operativos del negocio."</t>
  </si>
  <si>
    <t>Firmar un acta de aceptación formal entre el tutor, el cliente y el equipo de desarrollo para dejar constancia inequívoca del alcance validado</t>
  </si>
  <si>
    <t>Redactar casos de prueba específicos (ej. creación exitosa de producto, error por campos vacíos) y criterios de aceptación, ya que actualmente falta esta documentación para que el requisito sea verificable.</t>
  </si>
  <si>
    <t>Implementar una bitácora de control de cambios que registre y evidencie la incorporación de cada sugerencia realizada por el tutor o el cliente.</t>
  </si>
  <si>
    <t>Revisar la descripción del requisito para eliminar redundancias y asegurar que todos los conceptos coincidan estrictamente con el glosario del proyecto.</t>
  </si>
  <si>
    <t>Se recomienda realizar sesiones de validación y consenso con todos los interesados clave antes de cerrar la especificación de requerimientos, esto asegurará que los requerimientos reflejen las necesidades puntuales.</t>
  </si>
  <si>
    <t>¿Se han validado y aprobado formalmente con el cliente y la docente las reglas del CU "Consolidar inventario del sistema"?</t>
  </si>
  <si>
    <t>Registrar en una minuta o acta la aceptación del cliente tras cada sesión de elicitación, adjuntarla al repositorio del proyecto y completar los campos de "Aprobación" del SRS (sección 1.3).</t>
  </si>
  <si>
    <t>¿Está definido sin ambigüedad cómo se calculan las existencias consolidadas y quién dispara la consolidación?</t>
  </si>
  <si>
    <t>Documentar, acordada con el cliente, la regla de cálculo (cómo se combinan conteo físico y compras y de dónde se derivan las salidas por producto) y aclarar si la consolidación es automática o iniciada por el Administrador, usando un único criterio en Alcance, CU y RF-04.</t>
  </si>
  <si>
    <t>¿Se han incorporado los cambios sugeridos en la revisión del SRS?</t>
  </si>
  <si>
    <t>Resolver las notas pendientes de la sección 1.1, unificar el nombre del proyecto (SIMP / BACAM_IMP) y alinear el nombre del CU entre diagrama y descripción, apoyándose en un registro de cambios por revisión.</t>
  </si>
  <si>
    <t>¿Son coherentes entre sí el diagrama de casos de uso y la descripción del CU?</t>
  </si>
  <si>
    <t>Corregir el sentido de &lt;&lt;include&gt;&gt; (desde el caso base hacia el incluido), relacionar en el diagrama el registro de conteos físicos con la consolidación y representar al actor Sistema donde la descripción lo declara.</t>
  </si>
  <si>
    <t xml:space="preserve">
¿Se han definido criterios de aceptación y casos de prueba que permitan medir objetivamente el cumplimiento del requisito?</t>
  </si>
  <si>
    <t>Elaborar criterios de aceptación en formato Given-When-Then (p. ej.: dado un conteo físico y compras registradas de un producto, cuando el Administrador consolida, entonces las existencias y el detalle de entradas y salidas se actualizan), cada uno cubierto por al menos un caso de prueba; confirmar con el cliente si se requiere un tiempo máximo de respuesta.</t>
  </si>
  <si>
    <t>¿Contiene el CU toda la información necesaria (precondiciones, postcondiciones, flujos) para entender y diseñar la función?</t>
  </si>
  <si>
    <t>Agregar precondiciones (usuario autenticado, conteos y compras registrados), postcondiciones, flujo principal y alternos; completar la descripción de RF-04, añadir un RF-UI para la pantalla de consolidación, incluir "Consolidación" en el glosario y asignar un ID explícito al CU.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</si>
</sst>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  <font>
      <b/>
      <sz val="16"/>
      <color rgb="FF000000"/>
      <name val="Calibri"/>
    </font>
    <font>
      <b/>
      <sz val="12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4F81BD"/>
        <bgColor rgb="FF4F81BD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7" fillId="4" borderId="7" xfId="0" applyFont="1" applyFill="1" applyBorder="1" applyAlignment="1">
      <alignment wrapText="1"/>
    </xf>
    <xf numFmtId="0" fontId="17" fillId="5" borderId="7" xfId="0" applyFont="1" applyFill="1" applyBorder="1" applyAlignment="1">
      <alignment wrapText="1"/>
    </xf>
    <xf numFmtId="0" fontId="11" fillId="8" borderId="9" xfId="0" applyFont="1" applyFill="1" applyBorder="1" applyAlignment="1">
      <alignment wrapText="1"/>
    </xf>
    <xf numFmtId="0" fontId="11" fillId="8" borderId="7" xfId="0" applyFont="1" applyFill="1" applyBorder="1" applyAlignment="1">
      <alignment wrapText="1"/>
    </xf>
    <xf numFmtId="0" fontId="17" fillId="5" borderId="7" xfId="0" applyFont="1" applyFill="1" applyBorder="1" applyAlignment="1">
      <alignment horizontal="left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wrapText="1"/>
    </xf>
    <xf numFmtId="0" fontId="8" fillId="0" borderId="2" xfId="0" applyFont="1" applyBorder="1" applyAlignment="1">
      <alignment horizontal="center" vertical="top" wrapText="1"/>
    </xf>
    <xf numFmtId="0" fontId="11" fillId="8" borderId="9" xfId="0" applyFont="1" applyFill="1" applyBorder="1" applyAlignment="1">
      <alignment vertical="center" wrapText="1"/>
    </xf>
    <xf numFmtId="0" fontId="8" fillId="0" borderId="5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vertical="center" wrapText="1"/>
    </xf>
    <xf numFmtId="0" fontId="18" fillId="2" borderId="9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8" xfId="0" applyFont="1" applyBorder="1" applyAlignment="1"/>
    <xf numFmtId="0" fontId="5" fillId="0" borderId="4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4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48"/>
      <tableStyleElement type="firstRowStripe" dxfId="47"/>
      <tableStyleElement type="secondRowStripe" dxfId="46"/>
    </tableStyle>
    <tableStyle name="MODELO LISTA DE COMPROBACION - -style 2" pivot="0" count="3" xr9:uid="{00000000-0011-0000-FFFF-FFFF01000000}">
      <tableStyleElement type="headerRow" dxfId="45"/>
      <tableStyleElement type="firstRowStripe" dxfId="44"/>
      <tableStyleElement type="secondRowStripe" dxfId="43"/>
    </tableStyle>
    <tableStyle name="MODELO LISTA DE COMPROBACION - -style 3" pivot="0" count="3" xr9:uid="{00000000-0011-0000-FFFF-FFFF02000000}">
      <tableStyleElement type="headerRow" dxfId="42"/>
      <tableStyleElement type="firstRowStripe" dxfId="41"/>
      <tableStyleElement type="secondRowStripe" dxfId="40"/>
    </tableStyle>
    <tableStyle name="Hoja 1-style" pivot="0" count="3" xr9:uid="{00000000-0011-0000-FFFF-FFFF03000000}">
      <tableStyleElement type="headerRow" dxfId="39"/>
      <tableStyleElement type="firstRowStripe" dxfId="38"/>
      <tableStyleElement type="secondRowStripe" dxfId="37"/>
    </tableStyle>
    <tableStyle name="Hoja 1-style 2" pivot="0" count="3" xr9:uid="{00000000-0011-0000-FFFF-FFFF04000000}">
      <tableStyleElement type="headerRow" dxfId="36"/>
      <tableStyleElement type="firstRowStripe" dxfId="35"/>
      <tableStyleElement type="secondRowStripe" dxfId="34"/>
    </tableStyle>
    <tableStyle name="Hoja 1-style 3" pivot="0" count="3" xr9:uid="{00000000-0011-0000-FFFF-FFFF05000000}">
      <tableStyleElement type="headerRow" dxfId="33"/>
      <tableStyleElement type="firstRowStripe" dxfId="32"/>
      <tableStyleElement type="secondRowStripe" dxfId="31"/>
    </tableStyle>
    <tableStyle name="MODELO DE LISTA DE COMPROBACION-style" pivot="0" count="3" xr9:uid="{00000000-0011-0000-FFFF-FFFF06000000}">
      <tableStyleElement type="headerRow" dxfId="30"/>
      <tableStyleElement type="firstRowStripe" dxfId="29"/>
      <tableStyleElement type="secondRowStripe" dxfId="28"/>
    </tableStyle>
    <tableStyle name="MODELO DE LISTA DE COMPROBACION-style 2" pivot="0" count="3" xr9:uid="{00000000-0011-0000-FFFF-FFFF07000000}">
      <tableStyleElement type="headerRow" dxfId="27"/>
      <tableStyleElement type="firstRowStripe" dxfId="26"/>
      <tableStyleElement type="secondRowStripe" dxfId="25"/>
    </tableStyle>
    <tableStyle name="MODELO DE LISTA DE COMPROBACION-style 3" pivot="0" count="3" xr9:uid="{00000000-0011-0000-FFFF-FFFF08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B207-4371-8548-EC752A6D6CC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B207-4371-8548-EC752A6D6CC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B207-4371-8548-EC752A6D6CC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56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07-4371-8548-EC752A6D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5AC-4D33-A845-BE2019AA38A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5AC-4D33-A845-BE2019AA38A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5AC-4D33-A845-BE2019AA38A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(4)'!$B$41:$B$43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(4)'!$C$41:$C$43</c:f>
              <c:numCache>
                <c:formatCode>General</c:formatCode>
                <c:ptCount val="3"/>
                <c:pt idx="0">
                  <c:v>56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AC-4D33-A845-BE2019AA3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E0A-4819-9B3F-483B7DFE791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E0A-4819-9B3F-483B7DFE791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E0A-4819-9B3F-483B7DFE791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(2)'!$B$41:$B$43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(2)'!$C$41:$C$43</c:f>
              <c:numCache>
                <c:formatCode>General</c:formatCode>
                <c:ptCount val="3"/>
                <c:pt idx="0">
                  <c:v>56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0A-4819-9B3F-483B7DFE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1527CC-F589-4FE5-BF22-7499A5309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34483-2062-4C05-8716-B368EA869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98D1D-3C41-4413-9C16-E9AE258DF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51EA21-4222-4913-A674-997A7B93C28F}" name="Table_11114" displayName="Table_11114" ref="A7:D16">
  <tableColumns count="4">
    <tableColumn id="1" xr3:uid="{126A6CC0-EFB9-4BCC-9574-3013FEECCF79}" name="No."/>
    <tableColumn id="2" xr3:uid="{D4688CAC-D22C-44DC-B5C9-0CC9FEA0C898}" name="Pregunta"/>
    <tableColumn id="3" xr3:uid="{9BC62173-ACE7-483D-A56E-603738706934}" name="SI"/>
    <tableColumn id="4" xr3:uid="{BB2DA51E-89BF-473C-9215-F0A5CF3B4952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E34E24E-B505-4513-92BA-575D3143C0BC}" name="Table_21215" displayName="Table_21215" ref="A21:D26">
  <tableColumns count="4">
    <tableColumn id="1" xr3:uid="{DB5DAA8D-6E8A-4D72-B19C-36460003E730}" name="No."/>
    <tableColumn id="2" xr3:uid="{47CFCECD-744D-4832-8385-897AC7E2C06F}" name="Pregunta"/>
    <tableColumn id="3" xr3:uid="{3F442ECF-1C8D-4A40-B6EA-11B48B1D9861}" name="SI"/>
    <tableColumn id="4" xr3:uid="{81084802-F7CD-451A-9EB0-E3F84BF120BE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36A2D69-4565-43C6-9C16-4A4D6EF60916}" name="Table_31316" displayName="Table_31316" ref="A31:D34">
  <tableColumns count="4">
    <tableColumn id="1" xr3:uid="{59E7A857-A7C6-4DD0-9F7D-EB9A6B85065F}" name="No."/>
    <tableColumn id="2" xr3:uid="{CF69F64C-9889-484F-B276-EC0313C1FD33}" name="Pregunta"/>
    <tableColumn id="3" xr3:uid="{56050AE4-A13E-4A01-9DF5-61EED320E997}" name="SI"/>
    <tableColumn id="4" xr3:uid="{EE3E0B7E-D74A-4EF0-AB53-F8FBA9F46B82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3B9959-4227-4890-B058-A75F23E573CA}" name="Table_1115" displayName="Table_1115" ref="A7:D16">
  <tableColumns count="4">
    <tableColumn id="1" xr3:uid="{A9A79EFE-223E-40BE-A93D-B76FFD781478}" name="No."/>
    <tableColumn id="2" xr3:uid="{45C9FB60-DA9B-463E-99C3-27D78548B326}" name="Pregunta"/>
    <tableColumn id="3" xr3:uid="{5CF09143-664A-4CE2-8F95-E108D6D3DF82}" name="SI"/>
    <tableColumn id="4" xr3:uid="{738BF538-5DCC-47E7-8647-F8EBCC9C75DD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72373D-FA9A-4383-9D05-F40C1D77EE6D}" name="Table_2126" displayName="Table_2126" ref="A21:D26">
  <tableColumns count="4">
    <tableColumn id="1" xr3:uid="{D7302378-0AA5-4F13-8049-18E2913A83C7}" name="No."/>
    <tableColumn id="2" xr3:uid="{A6B4BEFA-F8F1-45DD-B607-78595AFC18AF}" name="Pregunta"/>
    <tableColumn id="3" xr3:uid="{271E36A0-851D-47D0-9459-84FAE31AA24A}" name="SI"/>
    <tableColumn id="4" xr3:uid="{0ED9766F-1E8C-49A5-91AD-06705FD441CA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C41D4C-A1FC-4CCD-AAA6-66F00215A95C}" name="Table_3137" displayName="Table_3137" ref="A31:D34">
  <tableColumns count="4">
    <tableColumn id="1" xr3:uid="{ECFFADAB-F00F-44E9-9A91-FEC1553B2617}" name="No."/>
    <tableColumn id="2" xr3:uid="{6B9E7212-F8B9-47A4-959B-6457342E95FB}" name="Pregunta"/>
    <tableColumn id="3" xr3:uid="{E32AE77E-DBB8-46EF-AB65-81A9CD0C1CDF}" name="SI"/>
    <tableColumn id="4" xr3:uid="{ACBE5186-701F-441A-A9E6-51501C32D2FE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38CD1D-6475-4A54-A88F-05F6D56730F2}" name="Table_111" displayName="Table_111" ref="A7:D16">
  <tableColumns count="4">
    <tableColumn id="1" xr3:uid="{739FA599-0E52-4292-9796-A9B6C504C4CA}" name="No."/>
    <tableColumn id="2" xr3:uid="{1C9FE1DA-930F-43EC-8D03-17F31E48CEDE}" name="Pregunta"/>
    <tableColumn id="3" xr3:uid="{205C9B02-F453-4405-8244-678DA80F7ECD}" name="SI"/>
    <tableColumn id="4" xr3:uid="{D7302115-A26A-44EF-9386-5741FD6B91F8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6B280E-D6F4-4CD9-8A38-B6D25B35396C}" name="Table_212" displayName="Table_212" ref="A21:D26">
  <tableColumns count="4">
    <tableColumn id="1" xr3:uid="{0F71E63F-9041-4BBD-B034-587254DECF04}" name="No."/>
    <tableColumn id="2" xr3:uid="{E52B5A5D-0EFC-41EB-8085-4E69A1A3553D}" name="Pregunta"/>
    <tableColumn id="3" xr3:uid="{A813F402-55C9-4749-BBF6-EBF650A10DDB}" name="SI"/>
    <tableColumn id="4" xr3:uid="{0BAF6048-2C73-4472-B611-BC362C7567B2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DF6910-48CD-4514-8345-A966085D8BBC}" name="Table_313" displayName="Table_313" ref="A31:D34">
  <tableColumns count="4">
    <tableColumn id="1" xr3:uid="{D997F59C-0606-4541-A2E3-372D9987377E}" name="No."/>
    <tableColumn id="2" xr3:uid="{A5F9A3EC-6B70-442D-AE00-2F996EB5F869}" name="Pregunta"/>
    <tableColumn id="3" xr3:uid="{4C5D35E6-B2A7-4656-BF1D-671B24AA9F6E}" name="SI"/>
    <tableColumn id="4" xr3:uid="{8E40B1FC-275A-4F1A-87F8-F81988BA60A4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6" workbookViewId="0">
      <selection activeCell="F38" sqref="F38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11.28515625" customWidth="1"/>
    <col min="6" max="6" width="46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53" t="s">
        <v>0</v>
      </c>
      <c r="D3" s="68"/>
      <c r="E3" s="68"/>
      <c r="F3" s="68"/>
      <c r="G3" s="68"/>
      <c r="H3" s="68"/>
      <c r="I3" s="68"/>
      <c r="J3" s="68"/>
      <c r="K3" s="68"/>
    </row>
    <row r="4" spans="2:11" ht="30" customHeight="1">
      <c r="C4" s="68"/>
      <c r="D4" s="68"/>
      <c r="E4" s="68"/>
      <c r="F4" s="68"/>
      <c r="G4" s="68"/>
      <c r="H4" s="68"/>
      <c r="I4" s="68"/>
      <c r="J4" s="68"/>
      <c r="K4" s="68"/>
    </row>
    <row r="5" spans="2:11" ht="30" customHeight="1">
      <c r="C5" s="2"/>
      <c r="D5" s="3" t="s">
        <v>1</v>
      </c>
      <c r="E5" s="54" t="s">
        <v>2</v>
      </c>
      <c r="F5" s="68"/>
      <c r="G5" s="68"/>
      <c r="H5" s="68"/>
      <c r="I5" s="68"/>
      <c r="J5" s="68"/>
      <c r="K5" s="68"/>
    </row>
    <row r="6" spans="2:11" ht="55.5" customHeight="1">
      <c r="C6" s="1"/>
      <c r="F6" s="55" t="s">
        <v>3</v>
      </c>
      <c r="G6" s="69"/>
      <c r="H6" s="69"/>
      <c r="I6" s="69"/>
      <c r="J6" s="69"/>
      <c r="K6" s="70"/>
    </row>
    <row r="7" spans="2:11" ht="45" customHeight="1">
      <c r="B7" s="56" t="s">
        <v>4</v>
      </c>
      <c r="C7" s="57" t="s">
        <v>5</v>
      </c>
      <c r="D7" s="71"/>
      <c r="E7" s="50" t="s">
        <v>6</v>
      </c>
      <c r="F7" s="58" t="s">
        <v>7</v>
      </c>
      <c r="G7" s="50" t="s">
        <v>6</v>
      </c>
      <c r="H7" s="4">
        <v>100</v>
      </c>
      <c r="I7" s="51" t="s">
        <v>8</v>
      </c>
      <c r="J7" s="50" t="s">
        <v>6</v>
      </c>
      <c r="K7" s="51" t="s">
        <v>9</v>
      </c>
    </row>
    <row r="8" spans="2:11" ht="60" customHeight="1">
      <c r="B8" s="72"/>
      <c r="C8" s="73"/>
      <c r="D8" s="74"/>
      <c r="E8" s="72"/>
      <c r="F8" s="59"/>
      <c r="G8" s="72"/>
      <c r="H8" s="4">
        <v>0</v>
      </c>
      <c r="I8" s="52"/>
      <c r="J8" s="72"/>
      <c r="K8" s="52"/>
    </row>
    <row r="9" spans="2:11" ht="63.75" customHeight="1">
      <c r="B9" s="5">
        <v>1</v>
      </c>
      <c r="C9" s="60" t="s">
        <v>10</v>
      </c>
      <c r="D9" s="70"/>
      <c r="E9" s="6" t="s">
        <v>11</v>
      </c>
      <c r="F9" s="7" t="s">
        <v>12</v>
      </c>
      <c r="G9" s="40"/>
      <c r="H9" s="8">
        <v>1</v>
      </c>
      <c r="I9" s="7" t="s">
        <v>13</v>
      </c>
      <c r="J9" s="40" t="s">
        <v>11</v>
      </c>
      <c r="K9" s="7" t="s">
        <v>13</v>
      </c>
    </row>
    <row r="10" spans="2:11" ht="52.5" customHeight="1">
      <c r="B10" s="5">
        <v>2</v>
      </c>
      <c r="C10" s="60" t="s">
        <v>14</v>
      </c>
      <c r="D10" s="70"/>
      <c r="E10" s="6" t="s">
        <v>11</v>
      </c>
      <c r="F10" s="9" t="s">
        <v>15</v>
      </c>
      <c r="G10" s="40" t="s">
        <v>11</v>
      </c>
      <c r="I10" s="42" t="s">
        <v>16</v>
      </c>
      <c r="J10" s="40" t="s">
        <v>11</v>
      </c>
      <c r="K10" s="9" t="s">
        <v>17</v>
      </c>
    </row>
    <row r="11" spans="2:11" ht="113.25">
      <c r="B11" s="5">
        <v>3</v>
      </c>
      <c r="C11" s="60" t="s">
        <v>18</v>
      </c>
      <c r="D11" s="70"/>
      <c r="E11" s="6" t="s">
        <v>11</v>
      </c>
      <c r="F11" s="9" t="s">
        <v>19</v>
      </c>
      <c r="G11" s="41" t="s">
        <v>20</v>
      </c>
      <c r="I11" s="48" t="s">
        <v>21</v>
      </c>
      <c r="J11" s="44" t="s">
        <v>20</v>
      </c>
      <c r="K11" s="9" t="s">
        <v>22</v>
      </c>
    </row>
    <row r="12" spans="2:11" ht="52.5" customHeight="1">
      <c r="B12" s="5">
        <v>4</v>
      </c>
      <c r="C12" s="60" t="s">
        <v>23</v>
      </c>
      <c r="D12" s="70"/>
      <c r="E12" s="6" t="s">
        <v>11</v>
      </c>
      <c r="F12" s="10" t="s">
        <v>24</v>
      </c>
      <c r="G12" s="40" t="s">
        <v>11</v>
      </c>
      <c r="I12" s="42" t="s">
        <v>25</v>
      </c>
      <c r="J12" s="40" t="s">
        <v>11</v>
      </c>
      <c r="K12" s="10" t="s">
        <v>24</v>
      </c>
    </row>
    <row r="13" spans="2:11" ht="52.5" customHeight="1">
      <c r="B13" s="5">
        <v>5</v>
      </c>
      <c r="C13" s="60" t="s">
        <v>26</v>
      </c>
      <c r="D13" s="70"/>
      <c r="E13" s="6" t="s">
        <v>11</v>
      </c>
      <c r="F13" s="10" t="s">
        <v>27</v>
      </c>
      <c r="G13" s="40" t="s">
        <v>11</v>
      </c>
      <c r="I13" s="42" t="s">
        <v>27</v>
      </c>
      <c r="J13" s="40" t="s">
        <v>11</v>
      </c>
      <c r="K13" s="10" t="s">
        <v>28</v>
      </c>
    </row>
    <row r="14" spans="2:11" ht="52.5" customHeight="1">
      <c r="B14" s="5">
        <v>6</v>
      </c>
      <c r="C14" s="60" t="s">
        <v>29</v>
      </c>
      <c r="D14" s="70"/>
      <c r="E14" s="6" t="s">
        <v>11</v>
      </c>
      <c r="F14" s="10" t="s">
        <v>30</v>
      </c>
      <c r="G14" s="40" t="s">
        <v>11</v>
      </c>
      <c r="I14" s="42" t="s">
        <v>31</v>
      </c>
      <c r="J14" s="44" t="s">
        <v>20</v>
      </c>
      <c r="K14" s="10" t="s">
        <v>32</v>
      </c>
    </row>
    <row r="15" spans="2:11" ht="52.5" customHeight="1">
      <c r="B15" s="5">
        <v>7</v>
      </c>
      <c r="C15" s="60" t="s">
        <v>33</v>
      </c>
      <c r="D15" s="70"/>
      <c r="E15" s="11" t="s">
        <v>20</v>
      </c>
      <c r="F15" s="10" t="s">
        <v>34</v>
      </c>
      <c r="G15" s="41" t="s">
        <v>20</v>
      </c>
      <c r="I15" s="42" t="s">
        <v>35</v>
      </c>
      <c r="J15" s="44" t="s">
        <v>20</v>
      </c>
      <c r="K15" s="10" t="s">
        <v>36</v>
      </c>
    </row>
    <row r="16" spans="2:11" ht="52.5" customHeight="1">
      <c r="B16" s="5">
        <v>8</v>
      </c>
      <c r="C16" s="60" t="s">
        <v>37</v>
      </c>
      <c r="D16" s="70"/>
      <c r="E16" s="11" t="s">
        <v>20</v>
      </c>
      <c r="F16" s="10" t="s">
        <v>38</v>
      </c>
      <c r="G16" s="41" t="s">
        <v>20</v>
      </c>
      <c r="I16" s="42" t="s">
        <v>39</v>
      </c>
      <c r="J16" s="44" t="s">
        <v>20</v>
      </c>
      <c r="K16" s="42" t="s">
        <v>39</v>
      </c>
    </row>
    <row r="17" spans="2:11" ht="68.25" customHeight="1">
      <c r="B17" s="5">
        <v>9</v>
      </c>
      <c r="C17" s="60" t="s">
        <v>40</v>
      </c>
      <c r="D17" s="70"/>
      <c r="E17" s="6" t="s">
        <v>11</v>
      </c>
      <c r="F17" s="12" t="s">
        <v>41</v>
      </c>
      <c r="G17" s="41" t="s">
        <v>20</v>
      </c>
      <c r="I17" s="43" t="s">
        <v>42</v>
      </c>
      <c r="J17" s="44" t="s">
        <v>20</v>
      </c>
      <c r="K17" s="43" t="s">
        <v>42</v>
      </c>
    </row>
    <row r="18" spans="2:11" ht="87" customHeight="1">
      <c r="B18" s="5">
        <v>10</v>
      </c>
      <c r="C18" s="60" t="s">
        <v>43</v>
      </c>
      <c r="D18" s="70"/>
      <c r="E18" s="6" t="s">
        <v>11</v>
      </c>
      <c r="F18" s="10" t="s">
        <v>44</v>
      </c>
      <c r="G18" s="40" t="s">
        <v>11</v>
      </c>
      <c r="I18" s="42" t="s">
        <v>45</v>
      </c>
      <c r="J18" s="40" t="s">
        <v>11</v>
      </c>
      <c r="K18" s="10" t="s">
        <v>46</v>
      </c>
    </row>
    <row r="19" spans="2:11" ht="52.5" customHeight="1">
      <c r="B19" s="5">
        <v>11</v>
      </c>
      <c r="C19" s="60" t="s">
        <v>47</v>
      </c>
      <c r="D19" s="70"/>
      <c r="E19" s="6" t="s">
        <v>11</v>
      </c>
      <c r="F19" s="10" t="s">
        <v>48</v>
      </c>
      <c r="G19" s="40" t="s">
        <v>11</v>
      </c>
      <c r="I19" s="42" t="s">
        <v>49</v>
      </c>
      <c r="J19" s="40" t="s">
        <v>11</v>
      </c>
      <c r="K19" s="10" t="s">
        <v>50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EAC4-FD29-42C5-97CB-06C589202B3D}">
  <dimension ref="A1:U1000"/>
  <sheetViews>
    <sheetView workbookViewId="0">
      <selection activeCell="T10" sqref="T10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1" width="10.7109375" customWidth="1"/>
  </cols>
  <sheetData>
    <row r="1" spans="1:21" ht="51" customHeight="1">
      <c r="A1" s="13"/>
      <c r="B1" s="14" t="s">
        <v>1</v>
      </c>
      <c r="C1" s="62" t="s">
        <v>51</v>
      </c>
      <c r="D1" s="6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4.25" customHeight="1">
      <c r="B2" s="15" t="s">
        <v>52</v>
      </c>
      <c r="C2" s="63">
        <v>46297</v>
      </c>
      <c r="D2" s="68"/>
    </row>
    <row r="3" spans="1:21" ht="14.25" customHeight="1">
      <c r="B3" s="15" t="s">
        <v>53</v>
      </c>
      <c r="C3" s="64" t="s">
        <v>54</v>
      </c>
      <c r="D3" s="68"/>
    </row>
    <row r="4" spans="1:21" ht="14.25" customHeight="1">
      <c r="B4" s="15" t="s">
        <v>55</v>
      </c>
      <c r="C4" s="64" t="s">
        <v>56</v>
      </c>
      <c r="D4" s="68"/>
    </row>
    <row r="5" spans="1:21" ht="14.25" customHeight="1"/>
    <row r="6" spans="1:21" ht="23.25">
      <c r="A6" s="65" t="s">
        <v>57</v>
      </c>
      <c r="B6" s="68"/>
      <c r="C6" s="68"/>
      <c r="D6" s="68"/>
    </row>
    <row r="7" spans="1:21" ht="15" customHeight="1">
      <c r="A7" s="16" t="s">
        <v>58</v>
      </c>
      <c r="B7" s="17" t="s">
        <v>59</v>
      </c>
      <c r="C7" s="17" t="s">
        <v>60</v>
      </c>
      <c r="D7" s="18" t="s">
        <v>61</v>
      </c>
    </row>
    <row r="8" spans="1:21" ht="14.25" customHeight="1">
      <c r="A8" s="34">
        <v>1</v>
      </c>
      <c r="B8" s="19" t="s">
        <v>62</v>
      </c>
      <c r="C8" s="20"/>
      <c r="D8" s="35" t="s">
        <v>63</v>
      </c>
    </row>
    <row r="9" spans="1:21" ht="14.25" customHeight="1">
      <c r="A9" s="34">
        <v>2</v>
      </c>
      <c r="B9" s="19" t="s">
        <v>64</v>
      </c>
      <c r="C9" s="20"/>
      <c r="D9" s="35" t="s">
        <v>63</v>
      </c>
    </row>
    <row r="10" spans="1:21" ht="14.25" customHeight="1">
      <c r="A10" s="34">
        <v>3</v>
      </c>
      <c r="B10" s="19" t="s">
        <v>65</v>
      </c>
      <c r="C10" s="20" t="s">
        <v>63</v>
      </c>
      <c r="D10" s="35"/>
    </row>
    <row r="11" spans="1:21" ht="14.25" customHeight="1">
      <c r="A11" s="34">
        <v>4</v>
      </c>
      <c r="B11" s="19" t="s">
        <v>66</v>
      </c>
      <c r="C11" s="20" t="s">
        <v>63</v>
      </c>
      <c r="D11" s="35"/>
    </row>
    <row r="12" spans="1:21" ht="14.25" customHeight="1">
      <c r="A12" s="34">
        <v>5</v>
      </c>
      <c r="B12" s="19" t="s">
        <v>67</v>
      </c>
      <c r="C12" s="20" t="s">
        <v>63</v>
      </c>
      <c r="D12" s="35"/>
    </row>
    <row r="13" spans="1:21" ht="14.25" customHeight="1">
      <c r="A13" s="34">
        <v>6</v>
      </c>
      <c r="B13" s="19" t="s">
        <v>68</v>
      </c>
      <c r="C13" s="20" t="s">
        <v>63</v>
      </c>
      <c r="D13" s="35"/>
    </row>
    <row r="14" spans="1:21" ht="14.25" customHeight="1">
      <c r="A14" s="34">
        <v>7</v>
      </c>
      <c r="B14" s="19" t="s">
        <v>69</v>
      </c>
      <c r="C14" s="20"/>
      <c r="D14" s="35" t="s">
        <v>63</v>
      </c>
    </row>
    <row r="15" spans="1:21" ht="14.25" customHeight="1">
      <c r="A15" s="34">
        <v>8</v>
      </c>
      <c r="B15" s="19" t="s">
        <v>70</v>
      </c>
      <c r="C15" s="20" t="s">
        <v>63</v>
      </c>
      <c r="D15" s="35"/>
    </row>
    <row r="16" spans="1:21" ht="14.25" customHeight="1">
      <c r="A16" s="21">
        <v>9</v>
      </c>
      <c r="B16" s="22" t="s">
        <v>71</v>
      </c>
      <c r="C16" s="23"/>
      <c r="D16" s="23" t="s">
        <v>63</v>
      </c>
    </row>
    <row r="17" spans="1:4" ht="18.75">
      <c r="A17" s="61" t="s">
        <v>72</v>
      </c>
      <c r="B17" s="68"/>
      <c r="C17" s="25">
        <f>COUNTA('MODELO LISTA DE COMPROBACIO (3)'!$C$8:$C$16)</f>
        <v>5</v>
      </c>
      <c r="D17" s="25">
        <f>COUNTA('MODELO LISTA DE COMPROBACIO (3)'!$D$8:$D$16)</f>
        <v>4</v>
      </c>
    </row>
    <row r="18" spans="1:4" ht="18.75">
      <c r="A18" s="61" t="s">
        <v>73</v>
      </c>
      <c r="B18" s="68"/>
      <c r="C18" s="26">
        <f t="shared" ref="C18:D18" si="0">C17/9</f>
        <v>0.55555555555555558</v>
      </c>
      <c r="D18" s="26">
        <f t="shared" si="0"/>
        <v>0.44444444444444442</v>
      </c>
    </row>
    <row r="19" spans="1:4" ht="14.25" customHeight="1">
      <c r="A19" s="24"/>
      <c r="B19" s="24"/>
      <c r="C19" s="26"/>
      <c r="D19" s="25"/>
    </row>
    <row r="20" spans="1:4" ht="23.25">
      <c r="A20" s="67" t="s">
        <v>74</v>
      </c>
      <c r="B20" s="75"/>
      <c r="C20" s="75"/>
      <c r="D20" s="75"/>
    </row>
    <row r="21" spans="1:4" ht="14.25" customHeight="1">
      <c r="A21" s="36" t="s">
        <v>58</v>
      </c>
      <c r="B21" s="37" t="s">
        <v>59</v>
      </c>
      <c r="C21" s="38" t="s">
        <v>60</v>
      </c>
      <c r="D21" s="39" t="s">
        <v>61</v>
      </c>
    </row>
    <row r="22" spans="1:4" ht="14.25" customHeight="1">
      <c r="A22" s="34">
        <v>1</v>
      </c>
      <c r="B22" s="19" t="s">
        <v>75</v>
      </c>
      <c r="C22" s="23" t="s">
        <v>63</v>
      </c>
      <c r="D22" s="35"/>
    </row>
    <row r="23" spans="1:4" ht="14.25" customHeight="1">
      <c r="A23" s="34">
        <v>2</v>
      </c>
      <c r="B23" s="19" t="s">
        <v>76</v>
      </c>
      <c r="C23" s="23" t="s">
        <v>63</v>
      </c>
      <c r="D23" s="35"/>
    </row>
    <row r="24" spans="1:4" ht="14.25" customHeight="1">
      <c r="A24" s="34">
        <v>3</v>
      </c>
      <c r="B24" s="19" t="s">
        <v>77</v>
      </c>
      <c r="C24" s="23" t="s">
        <v>63</v>
      </c>
      <c r="D24" s="35"/>
    </row>
    <row r="25" spans="1:4" ht="14.25" customHeight="1">
      <c r="A25" s="34">
        <v>4</v>
      </c>
      <c r="B25" s="19" t="s">
        <v>78</v>
      </c>
      <c r="C25" s="23"/>
      <c r="D25" s="35" t="s">
        <v>63</v>
      </c>
    </row>
    <row r="26" spans="1:4" ht="14.25" customHeight="1">
      <c r="A26" s="21">
        <v>5</v>
      </c>
      <c r="B26" s="22" t="s">
        <v>79</v>
      </c>
      <c r="C26" s="23" t="s">
        <v>63</v>
      </c>
      <c r="D26" s="27"/>
    </row>
    <row r="27" spans="1:4" ht="14.25" customHeight="1">
      <c r="A27" s="61" t="s">
        <v>72</v>
      </c>
      <c r="B27" s="68"/>
      <c r="C27" s="25">
        <f>COUNTA('MODELO LISTA DE COMPROBACIO (3)'!$C$22:$C$26)</f>
        <v>4</v>
      </c>
      <c r="D27" s="25">
        <f>COUNTA('MODELO LISTA DE COMPROBACIO (3)'!$D$22:$D$26)</f>
        <v>1</v>
      </c>
    </row>
    <row r="28" spans="1:4" ht="14.25" customHeight="1">
      <c r="A28" s="61" t="s">
        <v>73</v>
      </c>
      <c r="B28" s="68"/>
      <c r="C28" s="26">
        <f t="shared" ref="C28:D28" si="1">C27/5</f>
        <v>0.8</v>
      </c>
      <c r="D28" s="26">
        <f t="shared" si="1"/>
        <v>0.2</v>
      </c>
    </row>
    <row r="29" spans="1:4" ht="14.25" customHeight="1">
      <c r="A29" s="24"/>
      <c r="B29" s="24"/>
      <c r="C29" s="26"/>
      <c r="D29" s="25"/>
    </row>
    <row r="30" spans="1:4" ht="23.25">
      <c r="A30" s="65" t="s">
        <v>80</v>
      </c>
      <c r="B30" s="68"/>
      <c r="C30" s="68"/>
      <c r="D30" s="68"/>
    </row>
    <row r="31" spans="1:4" ht="14.25" customHeight="1">
      <c r="A31" s="36" t="s">
        <v>58</v>
      </c>
      <c r="B31" s="37" t="s">
        <v>59</v>
      </c>
      <c r="C31" s="38" t="s">
        <v>60</v>
      </c>
      <c r="D31" s="39" t="s">
        <v>61</v>
      </c>
    </row>
    <row r="32" spans="1:4" ht="14.25" customHeight="1">
      <c r="A32" s="34">
        <v>1</v>
      </c>
      <c r="B32" s="19" t="s">
        <v>81</v>
      </c>
      <c r="C32" s="23" t="s">
        <v>63</v>
      </c>
      <c r="D32" s="23"/>
    </row>
    <row r="33" spans="1:4" ht="14.25" customHeight="1">
      <c r="A33" s="34">
        <v>2</v>
      </c>
      <c r="B33" s="19" t="s">
        <v>82</v>
      </c>
      <c r="C33" s="23" t="s">
        <v>63</v>
      </c>
      <c r="D33" s="23"/>
    </row>
    <row r="34" spans="1:4" ht="14.25" customHeight="1">
      <c r="A34" s="21">
        <v>3</v>
      </c>
      <c r="B34" s="22" t="s">
        <v>83</v>
      </c>
      <c r="C34" s="23" t="s">
        <v>63</v>
      </c>
      <c r="D34" s="23"/>
    </row>
    <row r="35" spans="1:4" ht="14.25" customHeight="1">
      <c r="A35" s="61" t="s">
        <v>72</v>
      </c>
      <c r="B35" s="68"/>
      <c r="C35" s="8">
        <f>COUNTA('MODELO LISTA DE COMPROBACIO (3)'!$C$32:$C$34)</f>
        <v>3</v>
      </c>
      <c r="D35" s="8">
        <f>COUNTA('MODELO LISTA DE COMPROBACIO (3)'!$D$32:$D$34)</f>
        <v>0</v>
      </c>
    </row>
    <row r="36" spans="1:4" ht="14.25" customHeight="1">
      <c r="A36" s="61" t="s">
        <v>73</v>
      </c>
      <c r="B36" s="68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66" t="s">
        <v>84</v>
      </c>
      <c r="B40" s="68"/>
      <c r="C40" s="68"/>
    </row>
    <row r="41" spans="1:4">
      <c r="B41" s="13" t="s">
        <v>85</v>
      </c>
      <c r="C41" s="25">
        <v>56</v>
      </c>
    </row>
    <row r="42" spans="1:4">
      <c r="B42" s="13" t="s">
        <v>74</v>
      </c>
      <c r="C42" s="25">
        <v>80</v>
      </c>
    </row>
    <row r="43" spans="1:4">
      <c r="B43" s="13" t="s">
        <v>80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21" priority="9" operator="containsText" text="X">
      <formula>NOT(ISERROR(SEARCH(("X"),(A32))))</formula>
    </cfRule>
  </conditionalFormatting>
  <conditionalFormatting sqref="C8:D16 C22:C26 C32:D34">
    <cfRule type="containsText" dxfId="20" priority="10" operator="containsText" text="X">
      <formula>NOT(ISERROR(SEARCH(("X"),(C8))))</formula>
    </cfRule>
  </conditionalFormatting>
  <conditionalFormatting sqref="C8:D16 C22:C26 C32:D34">
    <cfRule type="containsText" dxfId="19" priority="11" operator="containsText" text="X">
      <formula>NOT(ISERROR(SEARCH(("X"),(C8))))</formula>
    </cfRule>
  </conditionalFormatting>
  <conditionalFormatting sqref="C8:D16 C22:C26 C32:D34">
    <cfRule type="containsText" dxfId="18" priority="12" operator="containsText" text="X">
      <formula>NOT(ISERROR(SEARCH(("X"),(C8))))</formula>
    </cfRule>
  </conditionalFormatting>
  <conditionalFormatting sqref="C8:D16 C22:C26 C32:D34">
    <cfRule type="containsText" dxfId="17" priority="13" operator="containsText" text="X">
      <formula>NOT(ISERROR(SEARCH(("X"),(C8))))</formula>
    </cfRule>
  </conditionalFormatting>
  <conditionalFormatting sqref="C22:D26">
    <cfRule type="containsText" dxfId="16" priority="14" operator="containsText" text="X">
      <formula>NOT(ISERROR(SEARCH(("X"),(C22))))</formula>
    </cfRule>
  </conditionalFormatting>
  <conditionalFormatting sqref="C22:D26">
    <cfRule type="containsText" dxfId="15" priority="15" operator="containsText" text="X">
      <formula>NOT(ISERROR(SEARCH(("X"),(C22))))</formula>
    </cfRule>
  </conditionalFormatting>
  <conditionalFormatting sqref="C32:D34">
    <cfRule type="containsText" dxfId="14" priority="16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DC78-5194-45A7-8C55-1F44B7784887}">
  <dimension ref="A1:Z1000"/>
  <sheetViews>
    <sheetView workbookViewId="0"/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62" t="s">
        <v>86</v>
      </c>
      <c r="D1" s="6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52</v>
      </c>
      <c r="C2" s="63">
        <v>46297</v>
      </c>
      <c r="D2" s="68"/>
    </row>
    <row r="3" spans="1:26" ht="14.25" customHeight="1">
      <c r="B3" s="15" t="s">
        <v>53</v>
      </c>
      <c r="C3" s="64" t="s">
        <v>87</v>
      </c>
      <c r="D3" s="68"/>
    </row>
    <row r="4" spans="1:26" ht="14.25" customHeight="1">
      <c r="B4" s="15" t="s">
        <v>55</v>
      </c>
      <c r="C4" s="64" t="s">
        <v>7</v>
      </c>
      <c r="D4" s="68"/>
    </row>
    <row r="5" spans="1:26" ht="14.25" customHeight="1"/>
    <row r="6" spans="1:26" ht="14.25" customHeight="1">
      <c r="A6" s="65" t="s">
        <v>57</v>
      </c>
      <c r="B6" s="68"/>
      <c r="C6" s="68"/>
      <c r="D6" s="68"/>
    </row>
    <row r="7" spans="1:26" ht="15" customHeight="1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14.25" customHeight="1">
      <c r="A8" s="34">
        <v>1</v>
      </c>
      <c r="B8" s="19" t="s">
        <v>62</v>
      </c>
      <c r="D8" s="20" t="s">
        <v>63</v>
      </c>
    </row>
    <row r="9" spans="1:26" ht="14.25" customHeight="1">
      <c r="A9" s="34">
        <v>2</v>
      </c>
      <c r="B9" s="19" t="s">
        <v>64</v>
      </c>
      <c r="C9" s="20"/>
      <c r="D9" s="35" t="s">
        <v>63</v>
      </c>
    </row>
    <row r="10" spans="1:26" ht="14.25" customHeight="1">
      <c r="A10" s="34">
        <v>3</v>
      </c>
      <c r="B10" s="19" t="s">
        <v>65</v>
      </c>
      <c r="C10" s="20" t="s">
        <v>63</v>
      </c>
      <c r="D10" s="35"/>
    </row>
    <row r="11" spans="1:26" ht="14.25" customHeight="1">
      <c r="A11" s="34">
        <v>4</v>
      </c>
      <c r="B11" s="19" t="s">
        <v>66</v>
      </c>
      <c r="C11" s="20" t="s">
        <v>63</v>
      </c>
      <c r="D11" s="35"/>
    </row>
    <row r="12" spans="1:26" ht="14.25" customHeight="1">
      <c r="A12" s="34">
        <v>5</v>
      </c>
      <c r="B12" s="19" t="s">
        <v>67</v>
      </c>
      <c r="C12" s="20" t="s">
        <v>63</v>
      </c>
      <c r="D12" s="35"/>
    </row>
    <row r="13" spans="1:26" ht="14.25" customHeight="1">
      <c r="A13" s="34">
        <v>6</v>
      </c>
      <c r="B13" s="19" t="s">
        <v>68</v>
      </c>
      <c r="C13" s="20" t="s">
        <v>63</v>
      </c>
      <c r="D13" s="35"/>
    </row>
    <row r="14" spans="1:26" ht="14.25" customHeight="1">
      <c r="A14" s="34">
        <v>7</v>
      </c>
      <c r="B14" s="19" t="s">
        <v>69</v>
      </c>
      <c r="C14" s="20"/>
      <c r="D14" s="35" t="s">
        <v>63</v>
      </c>
    </row>
    <row r="15" spans="1:26" ht="14.25" customHeight="1">
      <c r="A15" s="34">
        <v>8</v>
      </c>
      <c r="B15" s="19" t="s">
        <v>70</v>
      </c>
      <c r="C15" s="20" t="s">
        <v>63</v>
      </c>
      <c r="D15" s="35"/>
    </row>
    <row r="16" spans="1:26" ht="14.25" customHeight="1">
      <c r="A16" s="21">
        <v>9</v>
      </c>
      <c r="B16" s="22" t="s">
        <v>71</v>
      </c>
      <c r="C16" s="23"/>
      <c r="D16" s="23" t="s">
        <v>63</v>
      </c>
    </row>
    <row r="17" spans="1:4" ht="14.25" customHeight="1">
      <c r="A17" s="61" t="s">
        <v>72</v>
      </c>
      <c r="B17" s="68"/>
      <c r="C17" s="25">
        <f>COUNTA('MODELO LISTA DE COMPROBACIO (4)'!$C$8:$C$16)</f>
        <v>5</v>
      </c>
      <c r="D17" s="25">
        <f>COUNTA('MODELO LISTA DE COMPROBACIO (4)'!$D$8:$D$16)</f>
        <v>4</v>
      </c>
    </row>
    <row r="18" spans="1:4" ht="14.25" customHeight="1">
      <c r="A18" s="61" t="s">
        <v>73</v>
      </c>
      <c r="B18" s="68"/>
      <c r="C18" s="26">
        <f t="shared" ref="C18:D18" si="0">C17/9</f>
        <v>0.55555555555555558</v>
      </c>
      <c r="D18" s="26">
        <f t="shared" si="0"/>
        <v>0.44444444444444442</v>
      </c>
    </row>
    <row r="19" spans="1:4" ht="14.25" customHeight="1">
      <c r="A19" s="24"/>
      <c r="B19" s="24"/>
      <c r="C19" s="26"/>
      <c r="D19" s="25"/>
    </row>
    <row r="20" spans="1:4" ht="14.25" customHeight="1">
      <c r="A20" s="67" t="s">
        <v>74</v>
      </c>
      <c r="B20" s="75"/>
      <c r="C20" s="75"/>
      <c r="D20" s="75"/>
    </row>
    <row r="21" spans="1:4" ht="14.25" customHeight="1">
      <c r="A21" s="36" t="s">
        <v>58</v>
      </c>
      <c r="B21" s="37" t="s">
        <v>59</v>
      </c>
      <c r="C21" s="38" t="s">
        <v>60</v>
      </c>
      <c r="D21" s="39" t="s">
        <v>61</v>
      </c>
    </row>
    <row r="22" spans="1:4" ht="14.25" customHeight="1">
      <c r="A22" s="34">
        <v>1</v>
      </c>
      <c r="B22" s="19" t="s">
        <v>75</v>
      </c>
      <c r="C22" s="23" t="s">
        <v>63</v>
      </c>
      <c r="D22" s="35"/>
    </row>
    <row r="23" spans="1:4" ht="14.25" customHeight="1">
      <c r="A23" s="34">
        <v>2</v>
      </c>
      <c r="B23" s="19" t="s">
        <v>76</v>
      </c>
      <c r="C23" s="23" t="s">
        <v>63</v>
      </c>
      <c r="D23" s="35"/>
    </row>
    <row r="24" spans="1:4" ht="14.25" customHeight="1">
      <c r="A24" s="34">
        <v>3</v>
      </c>
      <c r="B24" s="19" t="s">
        <v>77</v>
      </c>
      <c r="C24" s="23" t="s">
        <v>63</v>
      </c>
      <c r="D24" s="35"/>
    </row>
    <row r="25" spans="1:4" ht="14.25" customHeight="1">
      <c r="A25" s="34">
        <v>4</v>
      </c>
      <c r="B25" s="19" t="s">
        <v>78</v>
      </c>
      <c r="C25" s="23" t="s">
        <v>63</v>
      </c>
      <c r="D25" s="35"/>
    </row>
    <row r="26" spans="1:4" ht="14.25" customHeight="1">
      <c r="A26" s="21">
        <v>5</v>
      </c>
      <c r="B26" s="22" t="s">
        <v>79</v>
      </c>
      <c r="C26" s="23" t="s">
        <v>63</v>
      </c>
      <c r="D26" s="27"/>
    </row>
    <row r="27" spans="1:4" ht="14.25" customHeight="1">
      <c r="A27" s="61" t="s">
        <v>72</v>
      </c>
      <c r="B27" s="68"/>
      <c r="C27" s="25">
        <f>COUNTA('MODELO LISTA DE COMPROBACIO (4)'!$C$22:$C$26)</f>
        <v>5</v>
      </c>
      <c r="D27" s="25">
        <f>COUNTA('MODELO LISTA DE COMPROBACIO (4)'!$D$22:$D$26)</f>
        <v>0</v>
      </c>
    </row>
    <row r="28" spans="1:4" ht="14.25" customHeight="1">
      <c r="A28" s="61" t="s">
        <v>73</v>
      </c>
      <c r="B28" s="68"/>
      <c r="C28" s="26">
        <f t="shared" ref="C28:D28" si="1">C27/5</f>
        <v>1</v>
      </c>
      <c r="D28" s="26">
        <f t="shared" si="1"/>
        <v>0</v>
      </c>
    </row>
    <row r="29" spans="1:4" ht="14.25" customHeight="1">
      <c r="A29" s="24"/>
      <c r="B29" s="24"/>
      <c r="C29" s="26"/>
      <c r="D29" s="25"/>
    </row>
    <row r="30" spans="1:4" ht="14.25" customHeight="1">
      <c r="A30" s="65" t="s">
        <v>80</v>
      </c>
      <c r="B30" s="68"/>
      <c r="C30" s="68"/>
      <c r="D30" s="68"/>
    </row>
    <row r="31" spans="1:4" ht="14.25" customHeight="1">
      <c r="A31" s="36" t="s">
        <v>58</v>
      </c>
      <c r="B31" s="37" t="s">
        <v>59</v>
      </c>
      <c r="C31" s="38" t="s">
        <v>60</v>
      </c>
      <c r="D31" s="39" t="s">
        <v>61</v>
      </c>
    </row>
    <row r="32" spans="1:4" ht="14.25" customHeight="1">
      <c r="A32" s="34">
        <v>1</v>
      </c>
      <c r="B32" s="19" t="s">
        <v>81</v>
      </c>
      <c r="C32" s="23" t="s">
        <v>63</v>
      </c>
      <c r="D32" s="23"/>
    </row>
    <row r="33" spans="1:4" ht="14.25" customHeight="1">
      <c r="A33" s="34">
        <v>2</v>
      </c>
      <c r="B33" s="19" t="s">
        <v>82</v>
      </c>
      <c r="C33" s="23" t="s">
        <v>63</v>
      </c>
      <c r="D33" s="23"/>
    </row>
    <row r="34" spans="1:4" ht="14.25" customHeight="1">
      <c r="A34" s="21">
        <v>3</v>
      </c>
      <c r="B34" s="22" t="s">
        <v>83</v>
      </c>
      <c r="C34" s="23" t="s">
        <v>63</v>
      </c>
      <c r="D34" s="23"/>
    </row>
    <row r="35" spans="1:4" ht="14.25" customHeight="1">
      <c r="A35" s="61" t="s">
        <v>72</v>
      </c>
      <c r="B35" s="68"/>
      <c r="C35" s="8">
        <f>COUNTA('MODELO LISTA DE COMPROBACIO (4)'!$C$32:$C$34)</f>
        <v>3</v>
      </c>
      <c r="D35" s="8">
        <f>COUNTA('MODELO LISTA DE COMPROBACIO (4)'!$D$32:$D$34)</f>
        <v>0</v>
      </c>
    </row>
    <row r="36" spans="1:4" ht="14.25" customHeight="1">
      <c r="A36" s="61" t="s">
        <v>73</v>
      </c>
      <c r="B36" s="68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66" t="s">
        <v>84</v>
      </c>
      <c r="B40" s="68"/>
      <c r="C40" s="68"/>
    </row>
    <row r="41" spans="1:4" ht="30" customHeight="1">
      <c r="B41" s="13" t="s">
        <v>85</v>
      </c>
      <c r="C41" s="25">
        <v>56</v>
      </c>
    </row>
    <row r="42" spans="1:4" ht="30" customHeight="1">
      <c r="B42" s="13" t="s">
        <v>74</v>
      </c>
      <c r="C42" s="25">
        <v>100</v>
      </c>
    </row>
    <row r="43" spans="1:4" ht="30" customHeight="1">
      <c r="B43" s="13" t="s">
        <v>80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13" priority="1" operator="containsText" text="X">
      <formula>NOT(ISERROR(SEARCH(("X"),(A32))))</formula>
    </cfRule>
  </conditionalFormatting>
  <conditionalFormatting sqref="C22:C26 C32:D34 C9:D16 D8">
    <cfRule type="containsText" dxfId="12" priority="2" operator="containsText" text="X">
      <formula>NOT(ISERROR(SEARCH(("X"),(C8))))</formula>
    </cfRule>
  </conditionalFormatting>
  <conditionalFormatting sqref="C22:C26 C32:D34 C9:D16 D8">
    <cfRule type="containsText" dxfId="11" priority="3" operator="containsText" text="X">
      <formula>NOT(ISERROR(SEARCH(("X"),(C8))))</formula>
    </cfRule>
  </conditionalFormatting>
  <conditionalFormatting sqref="C22:C26 C32:D34 C9:D16 D8">
    <cfRule type="containsText" dxfId="10" priority="4" operator="containsText" text="X">
      <formula>NOT(ISERROR(SEARCH(("X"),(C8))))</formula>
    </cfRule>
  </conditionalFormatting>
  <conditionalFormatting sqref="C22:C26 C32:D34 C9:D16 D8">
    <cfRule type="containsText" dxfId="9" priority="5" operator="containsText" text="X">
      <formula>NOT(ISERROR(SEARCH(("X"),(C8))))</formula>
    </cfRule>
  </conditionalFormatting>
  <conditionalFormatting sqref="C22:D26">
    <cfRule type="containsText" dxfId="8" priority="6" operator="containsText" text="X">
      <formula>NOT(ISERROR(SEARCH(("X"),(C22))))</formula>
    </cfRule>
  </conditionalFormatting>
  <conditionalFormatting sqref="C22:D26">
    <cfRule type="containsText" dxfId="7" priority="7" operator="containsText" text="X">
      <formula>NOT(ISERROR(SEARCH(("X"),(C22))))</formula>
    </cfRule>
  </conditionalFormatting>
  <conditionalFormatting sqref="C32:D34">
    <cfRule type="containsText" dxfId="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1780-BEFE-4860-AB6A-4CB6DA2BB43F}">
  <dimension ref="A1:Z1000"/>
  <sheetViews>
    <sheetView workbookViewId="0">
      <selection activeCell="B34" sqref="B34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62" t="s">
        <v>86</v>
      </c>
      <c r="D1" s="6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52</v>
      </c>
      <c r="C2" s="63">
        <v>46297</v>
      </c>
      <c r="D2" s="68"/>
    </row>
    <row r="3" spans="1:26" ht="14.25" customHeight="1">
      <c r="B3" s="15" t="s">
        <v>53</v>
      </c>
      <c r="C3" s="64" t="s">
        <v>88</v>
      </c>
      <c r="D3" s="68"/>
    </row>
    <row r="4" spans="1:26" ht="14.25" customHeight="1">
      <c r="B4" s="15" t="s">
        <v>55</v>
      </c>
      <c r="C4" s="64" t="s">
        <v>89</v>
      </c>
      <c r="D4" s="68"/>
    </row>
    <row r="5" spans="1:26" ht="14.25" customHeight="1"/>
    <row r="6" spans="1:26" ht="14.25" customHeight="1">
      <c r="A6" s="65" t="s">
        <v>57</v>
      </c>
      <c r="B6" s="68"/>
      <c r="C6" s="68"/>
      <c r="D6" s="68"/>
    </row>
    <row r="7" spans="1:26" ht="15" customHeight="1">
      <c r="A7" s="16" t="s">
        <v>58</v>
      </c>
      <c r="B7" s="17" t="s">
        <v>59</v>
      </c>
      <c r="C7" s="17" t="s">
        <v>60</v>
      </c>
      <c r="D7" s="18" t="s">
        <v>61</v>
      </c>
    </row>
    <row r="8" spans="1:26" ht="14.25" customHeight="1">
      <c r="A8" s="34">
        <v>1</v>
      </c>
      <c r="B8" s="19" t="s">
        <v>62</v>
      </c>
      <c r="D8" s="20" t="s">
        <v>63</v>
      </c>
    </row>
    <row r="9" spans="1:26" ht="14.25" customHeight="1">
      <c r="A9" s="34">
        <v>2</v>
      </c>
      <c r="B9" s="19" t="s">
        <v>64</v>
      </c>
      <c r="C9" s="20"/>
      <c r="D9" s="35" t="s">
        <v>63</v>
      </c>
    </row>
    <row r="10" spans="1:26" ht="14.25" customHeight="1">
      <c r="A10" s="34">
        <v>3</v>
      </c>
      <c r="B10" s="19" t="s">
        <v>65</v>
      </c>
      <c r="C10" s="20" t="s">
        <v>63</v>
      </c>
      <c r="D10" s="35"/>
    </row>
    <row r="11" spans="1:26" ht="14.25" customHeight="1">
      <c r="A11" s="34">
        <v>4</v>
      </c>
      <c r="B11" s="19" t="s">
        <v>66</v>
      </c>
      <c r="C11" s="20" t="s">
        <v>63</v>
      </c>
      <c r="D11" s="35"/>
    </row>
    <row r="12" spans="1:26" ht="14.25" customHeight="1">
      <c r="A12" s="34">
        <v>5</v>
      </c>
      <c r="B12" s="19" t="s">
        <v>67</v>
      </c>
      <c r="C12" s="20" t="s">
        <v>63</v>
      </c>
      <c r="D12" s="35"/>
    </row>
    <row r="13" spans="1:26" ht="14.25" customHeight="1">
      <c r="A13" s="34">
        <v>6</v>
      </c>
      <c r="B13" s="19" t="s">
        <v>68</v>
      </c>
      <c r="C13" s="20" t="s">
        <v>63</v>
      </c>
      <c r="D13" s="35"/>
    </row>
    <row r="14" spans="1:26" ht="14.25" customHeight="1">
      <c r="A14" s="34">
        <v>7</v>
      </c>
      <c r="B14" s="19" t="s">
        <v>69</v>
      </c>
      <c r="C14" s="20"/>
      <c r="D14" s="35" t="s">
        <v>63</v>
      </c>
    </row>
    <row r="15" spans="1:26" ht="14.25" customHeight="1">
      <c r="A15" s="34">
        <v>8</v>
      </c>
      <c r="B15" s="19" t="s">
        <v>70</v>
      </c>
      <c r="C15" s="20" t="s">
        <v>63</v>
      </c>
      <c r="D15" s="35"/>
    </row>
    <row r="16" spans="1:26" ht="14.25" customHeight="1">
      <c r="A16" s="21">
        <v>9</v>
      </c>
      <c r="B16" s="22" t="s">
        <v>71</v>
      </c>
      <c r="C16" s="23"/>
      <c r="D16" s="23" t="s">
        <v>63</v>
      </c>
    </row>
    <row r="17" spans="1:4" ht="14.25" customHeight="1">
      <c r="A17" s="61" t="s">
        <v>72</v>
      </c>
      <c r="B17" s="68"/>
      <c r="C17" s="25">
        <f>COUNTA('MODELO LISTA DE COMPROBACIO (2)'!$C$8:$C$16)</f>
        <v>5</v>
      </c>
      <c r="D17" s="25">
        <f>COUNTA('MODELO LISTA DE COMPROBACIO (2)'!$D$8:$D$16)</f>
        <v>4</v>
      </c>
    </row>
    <row r="18" spans="1:4" ht="14.25" customHeight="1">
      <c r="A18" s="61" t="s">
        <v>73</v>
      </c>
      <c r="B18" s="68"/>
      <c r="C18" s="26">
        <f t="shared" ref="C18:D18" si="0">C17/9</f>
        <v>0.55555555555555558</v>
      </c>
      <c r="D18" s="26">
        <f t="shared" si="0"/>
        <v>0.44444444444444442</v>
      </c>
    </row>
    <row r="19" spans="1:4" ht="14.25" customHeight="1">
      <c r="A19" s="24"/>
      <c r="B19" s="24"/>
      <c r="C19" s="26"/>
      <c r="D19" s="25"/>
    </row>
    <row r="20" spans="1:4" ht="14.25" customHeight="1">
      <c r="A20" s="67" t="s">
        <v>74</v>
      </c>
      <c r="B20" s="75"/>
      <c r="C20" s="75"/>
      <c r="D20" s="75"/>
    </row>
    <row r="21" spans="1:4" ht="14.25" customHeight="1">
      <c r="A21" s="36" t="s">
        <v>58</v>
      </c>
      <c r="B21" s="37" t="s">
        <v>59</v>
      </c>
      <c r="C21" s="38" t="s">
        <v>60</v>
      </c>
      <c r="D21" s="39" t="s">
        <v>61</v>
      </c>
    </row>
    <row r="22" spans="1:4" ht="14.25" customHeight="1">
      <c r="A22" s="34">
        <v>1</v>
      </c>
      <c r="B22" s="19" t="s">
        <v>75</v>
      </c>
      <c r="C22" s="23" t="s">
        <v>63</v>
      </c>
      <c r="D22" s="35"/>
    </row>
    <row r="23" spans="1:4" ht="14.25" customHeight="1">
      <c r="A23" s="34">
        <v>2</v>
      </c>
      <c r="B23" s="19" t="s">
        <v>76</v>
      </c>
      <c r="C23" s="23" t="s">
        <v>63</v>
      </c>
      <c r="D23" s="35"/>
    </row>
    <row r="24" spans="1:4" ht="14.25" customHeight="1">
      <c r="A24" s="34">
        <v>3</v>
      </c>
      <c r="B24" s="19" t="s">
        <v>77</v>
      </c>
      <c r="C24" s="35"/>
      <c r="D24" s="23" t="s">
        <v>63</v>
      </c>
    </row>
    <row r="25" spans="1:4" ht="14.25" customHeight="1">
      <c r="A25" s="34">
        <v>4</v>
      </c>
      <c r="B25" s="19" t="s">
        <v>78</v>
      </c>
      <c r="C25" s="23" t="s">
        <v>63</v>
      </c>
      <c r="D25" s="35"/>
    </row>
    <row r="26" spans="1:4" ht="14.25" customHeight="1">
      <c r="A26" s="21">
        <v>5</v>
      </c>
      <c r="B26" s="22" t="s">
        <v>79</v>
      </c>
      <c r="C26" s="23" t="s">
        <v>63</v>
      </c>
      <c r="D26" s="27"/>
    </row>
    <row r="27" spans="1:4" ht="14.25" customHeight="1">
      <c r="A27" s="61" t="s">
        <v>72</v>
      </c>
      <c r="B27" s="68"/>
      <c r="C27" s="25">
        <f>COUNTA('MODELO LISTA DE COMPROBACIO (2)'!$C$22:$C$26)</f>
        <v>4</v>
      </c>
      <c r="D27" s="25">
        <f>COUNTA('MODELO LISTA DE COMPROBACIO (2)'!$D$22:$D$26)</f>
        <v>1</v>
      </c>
    </row>
    <row r="28" spans="1:4" ht="14.25" customHeight="1">
      <c r="A28" s="61" t="s">
        <v>73</v>
      </c>
      <c r="B28" s="68"/>
      <c r="C28" s="26">
        <f t="shared" ref="C28:D28" si="1">C27/5</f>
        <v>0.8</v>
      </c>
      <c r="D28" s="26">
        <f t="shared" si="1"/>
        <v>0.2</v>
      </c>
    </row>
    <row r="29" spans="1:4" ht="14.25" customHeight="1">
      <c r="A29" s="24"/>
      <c r="B29" s="24"/>
      <c r="C29" s="26"/>
      <c r="D29" s="25"/>
    </row>
    <row r="30" spans="1:4" ht="14.25" customHeight="1">
      <c r="A30" s="65" t="s">
        <v>80</v>
      </c>
      <c r="B30" s="68"/>
      <c r="C30" s="68"/>
      <c r="D30" s="68"/>
    </row>
    <row r="31" spans="1:4" ht="14.25" customHeight="1">
      <c r="A31" s="36" t="s">
        <v>58</v>
      </c>
      <c r="B31" s="37" t="s">
        <v>59</v>
      </c>
      <c r="C31" s="38" t="s">
        <v>60</v>
      </c>
      <c r="D31" s="39" t="s">
        <v>61</v>
      </c>
    </row>
    <row r="32" spans="1:4" ht="14.25" customHeight="1">
      <c r="A32" s="34">
        <v>1</v>
      </c>
      <c r="B32" s="19" t="s">
        <v>81</v>
      </c>
      <c r="C32" s="23" t="s">
        <v>63</v>
      </c>
      <c r="D32" s="23"/>
    </row>
    <row r="33" spans="1:4" ht="14.25" customHeight="1">
      <c r="A33" s="34">
        <v>2</v>
      </c>
      <c r="B33" s="19" t="s">
        <v>82</v>
      </c>
      <c r="C33" s="23" t="s">
        <v>63</v>
      </c>
      <c r="D33" s="23"/>
    </row>
    <row r="34" spans="1:4" ht="14.25" customHeight="1">
      <c r="A34" s="21">
        <v>3</v>
      </c>
      <c r="B34" s="22" t="s">
        <v>83</v>
      </c>
      <c r="C34" s="23" t="s">
        <v>63</v>
      </c>
      <c r="D34" s="23"/>
    </row>
    <row r="35" spans="1:4" ht="14.25" customHeight="1">
      <c r="A35" s="61" t="s">
        <v>72</v>
      </c>
      <c r="B35" s="68"/>
      <c r="C35" s="8">
        <f>COUNTA('MODELO LISTA DE COMPROBACIO (2)'!$C$32:$C$34)</f>
        <v>3</v>
      </c>
      <c r="D35" s="8">
        <f>COUNTA('MODELO LISTA DE COMPROBACIO (2)'!$D$32:$D$34)</f>
        <v>0</v>
      </c>
    </row>
    <row r="36" spans="1:4" ht="14.25" customHeight="1">
      <c r="A36" s="61" t="s">
        <v>73</v>
      </c>
      <c r="B36" s="68"/>
      <c r="C36" s="26">
        <f t="shared" ref="C36:D36" si="2">C35/3</f>
        <v>1</v>
      </c>
      <c r="D36" s="26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66" t="s">
        <v>84</v>
      </c>
      <c r="B40" s="68"/>
      <c r="C40" s="68"/>
    </row>
    <row r="41" spans="1:4" ht="30" customHeight="1">
      <c r="B41" s="13" t="s">
        <v>85</v>
      </c>
      <c r="C41" s="25">
        <v>56</v>
      </c>
    </row>
    <row r="42" spans="1:4" ht="30" customHeight="1">
      <c r="B42" s="13" t="s">
        <v>74</v>
      </c>
      <c r="C42" s="25">
        <v>100</v>
      </c>
    </row>
    <row r="43" spans="1:4" ht="30" customHeight="1">
      <c r="B43" s="13" t="s">
        <v>80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A17:B17"/>
    <mergeCell ref="C1:D1"/>
    <mergeCell ref="C2:D2"/>
    <mergeCell ref="C3:D3"/>
    <mergeCell ref="C4:D4"/>
    <mergeCell ref="A6:D6"/>
  </mergeCells>
  <conditionalFormatting sqref="A32:D34">
    <cfRule type="containsText" dxfId="5" priority="1" operator="containsText" text="X">
      <formula>NOT(ISERROR(SEARCH(("X"),(A32))))</formula>
    </cfRule>
  </conditionalFormatting>
  <conditionalFormatting sqref="C32:D34 C9:D16 D8 C22:D26">
    <cfRule type="containsText" dxfId="4" priority="2" operator="containsText" text="X">
      <formula>NOT(ISERROR(SEARCH(("X"),(C8))))</formula>
    </cfRule>
  </conditionalFormatting>
  <conditionalFormatting sqref="C32:D34 C9:D16 D8 C22:D26">
    <cfRule type="containsText" dxfId="3" priority="3" operator="containsText" text="X">
      <formula>NOT(ISERROR(SEARCH(("X"),(C8))))</formula>
    </cfRule>
  </conditionalFormatting>
  <conditionalFormatting sqref="C32:D34 C9:D16 D8 C22:C23 C25:C26 D24">
    <cfRule type="containsText" dxfId="2" priority="4" operator="containsText" text="X">
      <formula>NOT(ISERROR(SEARCH(("X"),(C8))))</formula>
    </cfRule>
  </conditionalFormatting>
  <conditionalFormatting sqref="C32:D34 C9:D16 D8 C22:C23 C25:C26 D24">
    <cfRule type="containsText" dxfId="1" priority="5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D9B3-BA60-4A49-BE32-33C36C61F0E8}">
  <dimension ref="A1:B997"/>
  <sheetViews>
    <sheetView tabSelected="1" workbookViewId="0">
      <selection activeCell="G4" sqref="G4"/>
    </sheetView>
  </sheetViews>
  <sheetFormatPr defaultColWidth="14.42578125" defaultRowHeight="15" customHeight="1"/>
  <cols>
    <col min="1" max="1" width="53.140625" customWidth="1"/>
    <col min="2" max="2" width="57.28515625" customWidth="1"/>
    <col min="3" max="26" width="10.7109375" customWidth="1"/>
  </cols>
  <sheetData>
    <row r="1" spans="1:2" ht="14.25" customHeight="1">
      <c r="A1" s="28" t="s">
        <v>90</v>
      </c>
      <c r="B1" s="28" t="s">
        <v>91</v>
      </c>
    </row>
    <row r="2" spans="1:2" ht="47.25" customHeight="1">
      <c r="A2" s="19" t="s">
        <v>92</v>
      </c>
      <c r="B2" s="19" t="s">
        <v>93</v>
      </c>
    </row>
    <row r="3" spans="1:2" ht="56.25" customHeight="1">
      <c r="A3" s="19" t="s">
        <v>94</v>
      </c>
      <c r="B3" s="19" t="s">
        <v>95</v>
      </c>
    </row>
    <row r="4" spans="1:2" ht="46.5" customHeight="1">
      <c r="A4" s="49" t="s">
        <v>96</v>
      </c>
      <c r="B4" s="30" t="s">
        <v>97</v>
      </c>
    </row>
    <row r="5" spans="1:2" ht="54" customHeight="1">
      <c r="A5" s="49" t="s">
        <v>98</v>
      </c>
      <c r="B5" s="19" t="s">
        <v>99</v>
      </c>
    </row>
    <row r="6" spans="1:2" ht="58.5" customHeight="1">
      <c r="A6" s="31" t="s">
        <v>100</v>
      </c>
      <c r="B6" s="32" t="s">
        <v>101</v>
      </c>
    </row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7"/>
  <sheetViews>
    <sheetView workbookViewId="0">
      <selection activeCell="D3" sqref="D3"/>
    </sheetView>
  </sheetViews>
  <sheetFormatPr defaultColWidth="14.42578125" defaultRowHeight="15" customHeight="1"/>
  <cols>
    <col min="1" max="1" width="53.140625" customWidth="1"/>
    <col min="2" max="2" width="57.28515625" customWidth="1"/>
    <col min="3" max="26" width="10.7109375" customWidth="1"/>
  </cols>
  <sheetData>
    <row r="1" spans="1:2" ht="14.25" customHeight="1">
      <c r="A1" s="28" t="s">
        <v>90</v>
      </c>
      <c r="B1" s="28" t="s">
        <v>91</v>
      </c>
    </row>
    <row r="2" spans="1:2" ht="47.25" customHeight="1">
      <c r="A2" s="19" t="s">
        <v>92</v>
      </c>
      <c r="B2" s="19" t="s">
        <v>102</v>
      </c>
    </row>
    <row r="3" spans="1:2" ht="56.25" customHeight="1">
      <c r="A3" s="19" t="s">
        <v>94</v>
      </c>
      <c r="B3" s="19" t="s">
        <v>103</v>
      </c>
    </row>
    <row r="4" spans="1:2" ht="46.5" customHeight="1">
      <c r="A4" s="49" t="s">
        <v>96</v>
      </c>
      <c r="B4" s="30" t="s">
        <v>104</v>
      </c>
    </row>
    <row r="5" spans="1:2" ht="54" customHeight="1">
      <c r="A5" s="49" t="s">
        <v>98</v>
      </c>
      <c r="B5" s="19" t="s">
        <v>105</v>
      </c>
    </row>
    <row r="6" spans="1:2" ht="58.5" customHeight="1">
      <c r="A6" s="31" t="s">
        <v>100</v>
      </c>
      <c r="B6" s="32" t="s">
        <v>106</v>
      </c>
    </row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8"/>
  <sheetViews>
    <sheetView workbookViewId="0">
      <selection activeCell="D4" sqref="D4"/>
    </sheetView>
  </sheetViews>
  <sheetFormatPr defaultColWidth="14.42578125" defaultRowHeight="15" customHeight="1"/>
  <cols>
    <col min="1" max="1" width="54.140625" customWidth="1"/>
    <col min="2" max="2" width="57.28515625" customWidth="1"/>
    <col min="3" max="26" width="10.7109375" customWidth="1"/>
  </cols>
  <sheetData>
    <row r="1" spans="1:2" ht="14.25" customHeight="1">
      <c r="A1" s="28" t="s">
        <v>90</v>
      </c>
      <c r="B1" s="28" t="s">
        <v>91</v>
      </c>
    </row>
    <row r="2" spans="1:2" ht="45.75">
      <c r="A2" s="29" t="s">
        <v>107</v>
      </c>
      <c r="B2" s="30" t="s">
        <v>108</v>
      </c>
    </row>
    <row r="3" spans="1:2" ht="76.5">
      <c r="A3" s="47" t="s">
        <v>109</v>
      </c>
      <c r="B3" s="22" t="s">
        <v>110</v>
      </c>
    </row>
    <row r="4" spans="1:2" ht="60.75">
      <c r="A4" s="33" t="s">
        <v>111</v>
      </c>
      <c r="B4" s="32" t="s">
        <v>112</v>
      </c>
    </row>
    <row r="5" spans="1:2" ht="60.75">
      <c r="A5" s="31" t="s">
        <v>113</v>
      </c>
      <c r="B5" s="32" t="s">
        <v>114</v>
      </c>
    </row>
    <row r="6" spans="1:2" ht="91.5">
      <c r="A6" s="45" t="s">
        <v>115</v>
      </c>
      <c r="B6" s="45" t="s">
        <v>116</v>
      </c>
    </row>
    <row r="7" spans="1:2" ht="76.5">
      <c r="A7" s="45" t="s">
        <v>117</v>
      </c>
      <c r="B7" s="46" t="s">
        <v>118</v>
      </c>
    </row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2026-10-01T15:34:53Z</dcterms:created>
  <dcterms:modified xsi:type="dcterms:W3CDTF">2026-10-05T20:30:39Z</dcterms:modified>
  <cp:category/>
  <cp:contentStatus/>
</cp:coreProperties>
</file>